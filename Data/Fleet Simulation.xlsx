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hidePivotFieldList="1"/>
  <mc:AlternateContent xmlns:mc="http://schemas.openxmlformats.org/markup-compatibility/2006">
    <mc:Choice Requires="x15">
      <x15ac:absPath xmlns:x15ac="http://schemas.microsoft.com/office/spreadsheetml/2010/11/ac" url="https://d.docs.live.net/c43681b9a4d9650d/Desktop/Data/"/>
    </mc:Choice>
  </mc:AlternateContent>
  <xr:revisionPtr revIDLastSave="137" documentId="8_{4406F3F4-1931-4BC7-B6EA-0102440F8366}" xr6:coauthVersionLast="47" xr6:coauthVersionMax="47" xr10:uidLastSave="{D0AB1F38-FE05-46DA-A1F3-5FB0F16328C0}"/>
  <bookViews>
    <workbookView xWindow="-120" yWindow="-120" windowWidth="29040" windowHeight="15720" activeTab="1" xr2:uid="{00000000-000D-0000-FFFF-FFFF00000000}"/>
  </bookViews>
  <sheets>
    <sheet name="Raw_Fleet_Data" sheetId="1" r:id="rId1"/>
    <sheet name="Cleaned_Data" sheetId="2" r:id="rId2"/>
    <sheet name="Formula_Logic_Review" sheetId="11" r:id="rId3"/>
    <sheet name="Data_Cleaning_Log" sheetId="3" r:id="rId4"/>
    <sheet name="Dashboard" sheetId="8" r:id="rId5"/>
    <sheet name="Dashboard_PT" sheetId="9" r:id="rId6"/>
  </sheets>
  <definedNames>
    <definedName name="_xlnm._FilterDatabase" localSheetId="1" hidden="1">#REF!</definedName>
    <definedName name="Slicer_Garage_Name">#N/A</definedName>
    <definedName name="Slicer_Vehicle_Type">#N/A</definedName>
    <definedName name="Slicer_VOR_SLA_Breached?">#N/A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 i="2" l="1"/>
  <c r="P4" i="2"/>
  <c r="P7" i="2"/>
  <c r="P8" i="2"/>
  <c r="P9" i="2"/>
  <c r="P10" i="2"/>
  <c r="P11" i="2"/>
  <c r="P12" i="2"/>
  <c r="P14" i="2"/>
  <c r="P17" i="2"/>
  <c r="P18" i="2"/>
  <c r="P20" i="2"/>
  <c r="P23" i="2"/>
  <c r="P24" i="2"/>
  <c r="P25" i="2"/>
  <c r="P26" i="2"/>
  <c r="P28" i="2"/>
  <c r="P32" i="2"/>
  <c r="P34" i="2"/>
  <c r="P35" i="2"/>
  <c r="P36" i="2"/>
  <c r="P38" i="2"/>
  <c r="P39" i="2"/>
  <c r="P40" i="2"/>
  <c r="P41" i="2"/>
  <c r="P42" i="2"/>
  <c r="P43" i="2"/>
  <c r="P44" i="2"/>
  <c r="P46" i="2"/>
  <c r="P47" i="2"/>
  <c r="P48" i="2"/>
  <c r="P49" i="2"/>
  <c r="P50" i="2"/>
  <c r="P51" i="2"/>
  <c r="P52" i="2"/>
  <c r="P53" i="2"/>
  <c r="P54" i="2"/>
  <c r="P57" i="2"/>
  <c r="P58" i="2"/>
  <c r="P60" i="2"/>
  <c r="P61" i="2"/>
  <c r="P62" i="2"/>
  <c r="P63" i="2"/>
  <c r="P64" i="2"/>
  <c r="P65" i="2"/>
  <c r="P67" i="2"/>
  <c r="P68" i="2"/>
  <c r="P69" i="2"/>
  <c r="P70" i="2"/>
  <c r="P72" i="2"/>
  <c r="P74" i="2"/>
  <c r="P75" i="2"/>
  <c r="P76" i="2"/>
  <c r="P78" i="2"/>
  <c r="P80" i="2"/>
  <c r="P82" i="2"/>
  <c r="P84" i="2"/>
  <c r="P85" i="2"/>
  <c r="P87" i="2"/>
  <c r="P89" i="2"/>
  <c r="P93" i="2"/>
  <c r="P94" i="2"/>
  <c r="P98" i="2"/>
  <c r="P100" i="2"/>
  <c r="P101" i="2"/>
  <c r="M3" i="2"/>
  <c r="M4" i="2"/>
  <c r="M7" i="2"/>
  <c r="M8" i="2"/>
  <c r="M9" i="2"/>
  <c r="M10" i="2"/>
  <c r="M11" i="2"/>
  <c r="M12" i="2"/>
  <c r="M14" i="2"/>
  <c r="M17" i="2"/>
  <c r="M18" i="2"/>
  <c r="M20" i="2"/>
  <c r="M23" i="2"/>
  <c r="M24" i="2"/>
  <c r="M25" i="2"/>
  <c r="M26" i="2"/>
  <c r="M28" i="2"/>
  <c r="M32" i="2"/>
  <c r="M34" i="2"/>
  <c r="M35" i="2"/>
  <c r="M36" i="2"/>
  <c r="M38" i="2"/>
  <c r="M39" i="2"/>
  <c r="M40" i="2"/>
  <c r="M41" i="2"/>
  <c r="M42" i="2"/>
  <c r="M43" i="2"/>
  <c r="M44" i="2"/>
  <c r="M46" i="2"/>
  <c r="M47" i="2"/>
  <c r="M48" i="2"/>
  <c r="M49" i="2"/>
  <c r="M50" i="2"/>
  <c r="M51" i="2"/>
  <c r="M52" i="2"/>
  <c r="M53" i="2"/>
  <c r="M54" i="2"/>
  <c r="M57" i="2"/>
  <c r="M58" i="2"/>
  <c r="M60" i="2"/>
  <c r="M61" i="2"/>
  <c r="M62" i="2"/>
  <c r="M63" i="2"/>
  <c r="M64" i="2"/>
  <c r="M65" i="2"/>
  <c r="M67" i="2"/>
  <c r="M68" i="2"/>
  <c r="M69" i="2"/>
  <c r="M70" i="2"/>
  <c r="M72" i="2"/>
  <c r="M74" i="2"/>
  <c r="M75" i="2"/>
  <c r="M76" i="2"/>
  <c r="M78" i="2"/>
  <c r="M80" i="2"/>
  <c r="M82" i="2"/>
  <c r="M84" i="2"/>
  <c r="M85" i="2"/>
  <c r="M87" i="2"/>
  <c r="M89" i="2"/>
  <c r="M93" i="2"/>
  <c r="M94" i="2"/>
  <c r="M98" i="2"/>
  <c r="M100" i="2"/>
  <c r="M101" i="2"/>
  <c r="C33" i="8"/>
  <c r="C32" i="8"/>
  <c r="C31" i="8"/>
  <c r="C30" i="8"/>
  <c r="C29" i="8"/>
  <c r="C28" i="8"/>
  <c r="C27" i="8"/>
  <c r="B5" i="8"/>
  <c r="Q2"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N2" i="2"/>
  <c r="O2" i="2" s="1"/>
  <c r="N3" i="2"/>
  <c r="O3" i="2" s="1"/>
  <c r="N4" i="2"/>
  <c r="O4" i="2" s="1"/>
  <c r="N5" i="2"/>
  <c r="O5" i="2" s="1"/>
  <c r="N6" i="2"/>
  <c r="O6" i="2" s="1"/>
  <c r="N7" i="2"/>
  <c r="O7" i="2" s="1"/>
  <c r="N8" i="2"/>
  <c r="O8" i="2" s="1"/>
  <c r="N9" i="2"/>
  <c r="O9" i="2" s="1"/>
  <c r="N10" i="2"/>
  <c r="O10" i="2" s="1"/>
  <c r="N11" i="2"/>
  <c r="O11" i="2" s="1"/>
  <c r="N12" i="2"/>
  <c r="O12" i="2" s="1"/>
  <c r="N13" i="2"/>
  <c r="N14" i="2"/>
  <c r="O14" i="2" s="1"/>
  <c r="N15" i="2"/>
  <c r="O15" i="2" s="1"/>
  <c r="N16" i="2"/>
  <c r="O16" i="2" s="1"/>
  <c r="N17" i="2"/>
  <c r="O17" i="2" s="1"/>
  <c r="N18" i="2"/>
  <c r="O18" i="2" s="1"/>
  <c r="N19" i="2"/>
  <c r="O19" i="2" s="1"/>
  <c r="N20" i="2"/>
  <c r="O20" i="2" s="1"/>
  <c r="N21" i="2"/>
  <c r="N22" i="2"/>
  <c r="O22" i="2" s="1"/>
  <c r="N23" i="2"/>
  <c r="O23" i="2" s="1"/>
  <c r="N24" i="2"/>
  <c r="O24" i="2" s="1"/>
  <c r="N25" i="2"/>
  <c r="O25" i="2" s="1"/>
  <c r="N26" i="2"/>
  <c r="O26" i="2" s="1"/>
  <c r="N27" i="2"/>
  <c r="O27" i="2" s="1"/>
  <c r="N28" i="2"/>
  <c r="O28" i="2" s="1"/>
  <c r="N29" i="2"/>
  <c r="N30" i="2"/>
  <c r="O30" i="2" s="1"/>
  <c r="N31" i="2"/>
  <c r="O31" i="2" s="1"/>
  <c r="N32" i="2"/>
  <c r="O32" i="2" s="1"/>
  <c r="N33" i="2"/>
  <c r="O33" i="2" s="1"/>
  <c r="N34" i="2"/>
  <c r="O34" i="2" s="1"/>
  <c r="N35" i="2"/>
  <c r="O35" i="2" s="1"/>
  <c r="N36" i="2"/>
  <c r="O36" i="2" s="1"/>
  <c r="N37" i="2"/>
  <c r="N38" i="2"/>
  <c r="O38" i="2" s="1"/>
  <c r="N39" i="2"/>
  <c r="O39" i="2" s="1"/>
  <c r="N40" i="2"/>
  <c r="O40" i="2" s="1"/>
  <c r="N41" i="2"/>
  <c r="O41" i="2" s="1"/>
  <c r="N42" i="2"/>
  <c r="O42" i="2" s="1"/>
  <c r="N43" i="2"/>
  <c r="O43" i="2" s="1"/>
  <c r="N44" i="2"/>
  <c r="O44" i="2" s="1"/>
  <c r="N45" i="2"/>
  <c r="N46" i="2"/>
  <c r="O46" i="2" s="1"/>
  <c r="N47" i="2"/>
  <c r="O47" i="2" s="1"/>
  <c r="N48" i="2"/>
  <c r="O48" i="2" s="1"/>
  <c r="N49" i="2"/>
  <c r="O49" i="2" s="1"/>
  <c r="N50" i="2"/>
  <c r="O50" i="2" s="1"/>
  <c r="N51" i="2"/>
  <c r="O51" i="2" s="1"/>
  <c r="N52" i="2"/>
  <c r="O52" i="2" s="1"/>
  <c r="N53" i="2"/>
  <c r="O53" i="2" s="1"/>
  <c r="N54" i="2"/>
  <c r="O54" i="2" s="1"/>
  <c r="N55" i="2"/>
  <c r="O55" i="2" s="1"/>
  <c r="N56" i="2"/>
  <c r="O56" i="2" s="1"/>
  <c r="N57" i="2"/>
  <c r="O57" i="2" s="1"/>
  <c r="N58" i="2"/>
  <c r="O58" i="2" s="1"/>
  <c r="N59" i="2"/>
  <c r="O59" i="2" s="1"/>
  <c r="N60" i="2"/>
  <c r="O60" i="2" s="1"/>
  <c r="N61" i="2"/>
  <c r="O61" i="2" s="1"/>
  <c r="N62" i="2"/>
  <c r="O62" i="2" s="1"/>
  <c r="N63" i="2"/>
  <c r="O63" i="2" s="1"/>
  <c r="N64" i="2"/>
  <c r="O64" i="2" s="1"/>
  <c r="N65" i="2"/>
  <c r="O65" i="2" s="1"/>
  <c r="N66" i="2"/>
  <c r="O66" i="2" s="1"/>
  <c r="N67" i="2"/>
  <c r="O67" i="2" s="1"/>
  <c r="N68" i="2"/>
  <c r="O68" i="2" s="1"/>
  <c r="N69" i="2"/>
  <c r="O69" i="2" s="1"/>
  <c r="N70" i="2"/>
  <c r="O70" i="2" s="1"/>
  <c r="N71" i="2"/>
  <c r="O71" i="2" s="1"/>
  <c r="N72" i="2"/>
  <c r="O72" i="2" s="1"/>
  <c r="N73" i="2"/>
  <c r="O73" i="2" s="1"/>
  <c r="N74" i="2"/>
  <c r="O74" i="2" s="1"/>
  <c r="N75" i="2"/>
  <c r="O75" i="2" s="1"/>
  <c r="N76" i="2"/>
  <c r="O76" i="2" s="1"/>
  <c r="N77" i="2"/>
  <c r="N78" i="2"/>
  <c r="O78" i="2" s="1"/>
  <c r="N79" i="2"/>
  <c r="O79" i="2" s="1"/>
  <c r="N80" i="2"/>
  <c r="O80" i="2" s="1"/>
  <c r="N81" i="2"/>
  <c r="O81" i="2" s="1"/>
  <c r="N82" i="2"/>
  <c r="O82" i="2" s="1"/>
  <c r="N83" i="2"/>
  <c r="O83" i="2" s="1"/>
  <c r="N84" i="2"/>
  <c r="O84" i="2" s="1"/>
  <c r="N85" i="2"/>
  <c r="O85" i="2" s="1"/>
  <c r="N86" i="2"/>
  <c r="O86" i="2" s="1"/>
  <c r="N87" i="2"/>
  <c r="O87" i="2" s="1"/>
  <c r="N88" i="2"/>
  <c r="O88" i="2" s="1"/>
  <c r="N89" i="2"/>
  <c r="O89" i="2" s="1"/>
  <c r="N90" i="2"/>
  <c r="O90" i="2" s="1"/>
  <c r="N91" i="2"/>
  <c r="O91" i="2" s="1"/>
  <c r="N92" i="2"/>
  <c r="O92" i="2" s="1"/>
  <c r="N93" i="2"/>
  <c r="O93" i="2" s="1"/>
  <c r="N94" i="2"/>
  <c r="O94" i="2" s="1"/>
  <c r="N95" i="2"/>
  <c r="O95" i="2" s="1"/>
  <c r="N96" i="2"/>
  <c r="O96" i="2" s="1"/>
  <c r="N97" i="2"/>
  <c r="O97" i="2" s="1"/>
  <c r="N98" i="2"/>
  <c r="O98" i="2" s="1"/>
  <c r="N99" i="2"/>
  <c r="O99" i="2" s="1"/>
  <c r="N100" i="2"/>
  <c r="O100" i="2" s="1"/>
  <c r="N101" i="2"/>
  <c r="O101" i="2" s="1"/>
  <c r="L2" i="2"/>
  <c r="M2" i="2" s="1"/>
  <c r="L3" i="2"/>
  <c r="L4" i="2"/>
  <c r="L5" i="2"/>
  <c r="M5" i="2" s="1"/>
  <c r="L6" i="2"/>
  <c r="M6" i="2" s="1"/>
  <c r="L7" i="2"/>
  <c r="L8" i="2"/>
  <c r="L9" i="2"/>
  <c r="L10" i="2"/>
  <c r="L11" i="2"/>
  <c r="L12" i="2"/>
  <c r="L13" i="2"/>
  <c r="M13" i="2" s="1"/>
  <c r="L14" i="2"/>
  <c r="L15" i="2"/>
  <c r="M15" i="2" s="1"/>
  <c r="L16" i="2"/>
  <c r="M16" i="2" s="1"/>
  <c r="L17" i="2"/>
  <c r="L18" i="2"/>
  <c r="L19" i="2"/>
  <c r="M19" i="2" s="1"/>
  <c r="L20" i="2"/>
  <c r="L21" i="2"/>
  <c r="M21" i="2" s="1"/>
  <c r="L22" i="2"/>
  <c r="M22" i="2" s="1"/>
  <c r="L23" i="2"/>
  <c r="L24" i="2"/>
  <c r="L25" i="2"/>
  <c r="L26" i="2"/>
  <c r="L27" i="2"/>
  <c r="M27" i="2" s="1"/>
  <c r="L28" i="2"/>
  <c r="L29" i="2"/>
  <c r="M29" i="2" s="1"/>
  <c r="L30" i="2"/>
  <c r="M30" i="2" s="1"/>
  <c r="L31" i="2"/>
  <c r="M31" i="2" s="1"/>
  <c r="L32" i="2"/>
  <c r="L33" i="2"/>
  <c r="M33" i="2" s="1"/>
  <c r="L34" i="2"/>
  <c r="L35" i="2"/>
  <c r="L36" i="2"/>
  <c r="L37" i="2"/>
  <c r="M37" i="2" s="1"/>
  <c r="L38" i="2"/>
  <c r="L39" i="2"/>
  <c r="L40" i="2"/>
  <c r="L41" i="2"/>
  <c r="L42" i="2"/>
  <c r="L43" i="2"/>
  <c r="L44" i="2"/>
  <c r="L45" i="2"/>
  <c r="M45" i="2" s="1"/>
  <c r="L46" i="2"/>
  <c r="L47" i="2"/>
  <c r="L48" i="2"/>
  <c r="L49" i="2"/>
  <c r="L50" i="2"/>
  <c r="L51" i="2"/>
  <c r="L52" i="2"/>
  <c r="L53" i="2"/>
  <c r="L54" i="2"/>
  <c r="L55" i="2"/>
  <c r="M55" i="2" s="1"/>
  <c r="L56" i="2"/>
  <c r="M56" i="2" s="1"/>
  <c r="L57" i="2"/>
  <c r="L58" i="2"/>
  <c r="L59" i="2"/>
  <c r="M59" i="2" s="1"/>
  <c r="L60" i="2"/>
  <c r="L61" i="2"/>
  <c r="L62" i="2"/>
  <c r="L63" i="2"/>
  <c r="L64" i="2"/>
  <c r="L65" i="2"/>
  <c r="L66" i="2"/>
  <c r="M66" i="2" s="1"/>
  <c r="L67" i="2"/>
  <c r="L68" i="2"/>
  <c r="L69" i="2"/>
  <c r="L70" i="2"/>
  <c r="L71" i="2"/>
  <c r="M71" i="2" s="1"/>
  <c r="L72" i="2"/>
  <c r="L73" i="2"/>
  <c r="M73" i="2" s="1"/>
  <c r="L74" i="2"/>
  <c r="L75" i="2"/>
  <c r="L76" i="2"/>
  <c r="L77" i="2"/>
  <c r="M77" i="2" s="1"/>
  <c r="L78" i="2"/>
  <c r="L79" i="2"/>
  <c r="M79" i="2" s="1"/>
  <c r="L80" i="2"/>
  <c r="L81" i="2"/>
  <c r="M81" i="2" s="1"/>
  <c r="L82" i="2"/>
  <c r="L83" i="2"/>
  <c r="M83" i="2" s="1"/>
  <c r="L84" i="2"/>
  <c r="L85" i="2"/>
  <c r="L86" i="2"/>
  <c r="M86" i="2" s="1"/>
  <c r="L87" i="2"/>
  <c r="L88" i="2"/>
  <c r="M88" i="2" s="1"/>
  <c r="L89" i="2"/>
  <c r="L90" i="2"/>
  <c r="M90" i="2" s="1"/>
  <c r="L91" i="2"/>
  <c r="M91" i="2" s="1"/>
  <c r="L92" i="2"/>
  <c r="M92" i="2" s="1"/>
  <c r="L93" i="2"/>
  <c r="L94" i="2"/>
  <c r="L95" i="2"/>
  <c r="M95" i="2" s="1"/>
  <c r="L96" i="2"/>
  <c r="M96" i="2" s="1"/>
  <c r="L97" i="2"/>
  <c r="M97" i="2" s="1"/>
  <c r="L98" i="2"/>
  <c r="L99" i="2"/>
  <c r="M99" i="2" s="1"/>
  <c r="L100" i="2"/>
  <c r="L101" i="2"/>
  <c r="P97" i="2" l="1"/>
  <c r="P81" i="2"/>
  <c r="P73" i="2"/>
  <c r="P33" i="2"/>
  <c r="P96" i="2"/>
  <c r="P88" i="2"/>
  <c r="P56" i="2"/>
  <c r="P16" i="2"/>
  <c r="P95" i="2"/>
  <c r="P79" i="2"/>
  <c r="P71" i="2"/>
  <c r="P55" i="2"/>
  <c r="P31" i="2"/>
  <c r="P15" i="2"/>
  <c r="P86" i="2"/>
  <c r="P30" i="2"/>
  <c r="P22" i="2"/>
  <c r="P6" i="2"/>
  <c r="P77" i="2"/>
  <c r="P45" i="2"/>
  <c r="P37" i="2"/>
  <c r="P29" i="2"/>
  <c r="P21" i="2"/>
  <c r="P13" i="2"/>
  <c r="P5" i="2"/>
  <c r="P92" i="2"/>
  <c r="P99" i="2"/>
  <c r="P91" i="2"/>
  <c r="P83" i="2"/>
  <c r="P59" i="2"/>
  <c r="P27" i="2"/>
  <c r="P19" i="2"/>
  <c r="P90" i="2"/>
  <c r="P66" i="2"/>
  <c r="P2" i="2"/>
  <c r="D5" i="8"/>
  <c r="J102" i="2"/>
  <c r="J5" i="8"/>
  <c r="G10" i="8"/>
  <c r="G18" i="8"/>
  <c r="G11" i="8"/>
  <c r="G12" i="8"/>
  <c r="G13" i="8"/>
  <c r="L5" i="8"/>
  <c r="G14" i="8"/>
  <c r="G15" i="8"/>
  <c r="G16" i="8"/>
  <c r="G9" i="8"/>
  <c r="G17" i="8"/>
  <c r="O77" i="2"/>
  <c r="O45" i="2"/>
  <c r="O37" i="2"/>
  <c r="O29" i="2"/>
  <c r="O21" i="2"/>
  <c r="O13" i="2"/>
  <c r="C10" i="8" l="1"/>
  <c r="H5" i="8"/>
  <c r="F5" i="8"/>
  <c r="C9" i="8"/>
</calcChain>
</file>

<file path=xl/sharedStrings.xml><?xml version="1.0" encoding="utf-8"?>
<sst xmlns="http://schemas.openxmlformats.org/spreadsheetml/2006/main" count="1320" uniqueCount="206">
  <si>
    <t>Vehicle_ID</t>
  </si>
  <si>
    <t>Vehicle_Type</t>
  </si>
  <si>
    <t>Make_Model</t>
  </si>
  <si>
    <t>Defect_Reported_DateTime</t>
  </si>
  <si>
    <t>Garage_Booked_DateTime</t>
  </si>
  <si>
    <t>Garage_In_Date</t>
  </si>
  <si>
    <t>Garage_Out_Date</t>
  </si>
  <si>
    <t>MOT_Linked</t>
  </si>
  <si>
    <t>Repeated_Defect_Last_30_Days</t>
  </si>
  <si>
    <t>Garage_Name</t>
  </si>
  <si>
    <t>Actual_Repair_Start_Date</t>
  </si>
  <si>
    <t>Estimated_Completion_Date</t>
  </si>
  <si>
    <t>Primary_Delay_Reason</t>
  </si>
  <si>
    <t>VH1000</t>
  </si>
  <si>
    <t>Specialised</t>
  </si>
  <si>
    <t>Ford Transit</t>
  </si>
  <si>
    <t>Yes</t>
  </si>
  <si>
    <t>No</t>
  </si>
  <si>
    <t>Joey Special Auto Centre</t>
  </si>
  <si>
    <t>None (On Time)</t>
  </si>
  <si>
    <t>VH1001</t>
  </si>
  <si>
    <t>Standard</t>
  </si>
  <si>
    <t>Vauxhall Vivaro</t>
  </si>
  <si>
    <t>Geller Repair Shop</t>
  </si>
  <si>
    <t>Recovery Delivery Failure</t>
  </si>
  <si>
    <t>VH1002</t>
  </si>
  <si>
    <t>Mercedes Atego</t>
  </si>
  <si>
    <t>Central Perk Repairs</t>
  </si>
  <si>
    <t>Garage Capacity / Ramp Delay</t>
  </si>
  <si>
    <t>VH1003</t>
  </si>
  <si>
    <t>Iveco Daily</t>
  </si>
  <si>
    <t>15 Yemen Rd Garage</t>
  </si>
  <si>
    <t>VH1004</t>
  </si>
  <si>
    <t>Awaiting Client Authorization</t>
  </si>
  <si>
    <t>VH1005</t>
  </si>
  <si>
    <t>Princess Consuela Auto Centre</t>
  </si>
  <si>
    <t>Parts on Backorder</t>
  </si>
  <si>
    <t>VH1006</t>
  </si>
  <si>
    <t>PIVOT Garage Repairs</t>
  </si>
  <si>
    <t>Incorrect Defect Diagnosis</t>
  </si>
  <si>
    <t>VH1007</t>
  </si>
  <si>
    <t>VH1008</t>
  </si>
  <si>
    <t>Vauxhall Movano</t>
  </si>
  <si>
    <t>VH1009</t>
  </si>
  <si>
    <t>Dr Drake Ramoray Autos</t>
  </si>
  <si>
    <t>VH1010</t>
  </si>
  <si>
    <t>VH1011</t>
  </si>
  <si>
    <t>VH1012</t>
  </si>
  <si>
    <t>Mississippilessly Repairs</t>
  </si>
  <si>
    <t>VH1013</t>
  </si>
  <si>
    <t>VH1014</t>
  </si>
  <si>
    <t>VH1015</t>
  </si>
  <si>
    <t>VH1016</t>
  </si>
  <si>
    <t>VH1017</t>
  </si>
  <si>
    <t>Unknown</t>
  </si>
  <si>
    <t>VH1018</t>
  </si>
  <si>
    <t>VH1019</t>
  </si>
  <si>
    <t>VH1020</t>
  </si>
  <si>
    <t>VH1021</t>
  </si>
  <si>
    <t>VH1022</t>
  </si>
  <si>
    <t>VH1023</t>
  </si>
  <si>
    <t>VH1024</t>
  </si>
  <si>
    <t>VH1025</t>
  </si>
  <si>
    <t>VH1026</t>
  </si>
  <si>
    <t>Renault Sprinter</t>
  </si>
  <si>
    <t>VH1027</t>
  </si>
  <si>
    <t>VH1028</t>
  </si>
  <si>
    <t>VH1029</t>
  </si>
  <si>
    <t>VH1030</t>
  </si>
  <si>
    <t>VH1031</t>
  </si>
  <si>
    <t>VH1032</t>
  </si>
  <si>
    <t>VH1033</t>
  </si>
  <si>
    <t>VH1034</t>
  </si>
  <si>
    <t>VH1035</t>
  </si>
  <si>
    <t>VH1036</t>
  </si>
  <si>
    <t>VH1037</t>
  </si>
  <si>
    <t>VH1038</t>
  </si>
  <si>
    <t>VH1039</t>
  </si>
  <si>
    <t>VH1040</t>
  </si>
  <si>
    <t>VH1041</t>
  </si>
  <si>
    <t>VH1042</t>
  </si>
  <si>
    <t>VH1043</t>
  </si>
  <si>
    <t>VH1044</t>
  </si>
  <si>
    <t>15 Yemen Road Garage</t>
  </si>
  <si>
    <t>VH1045</t>
  </si>
  <si>
    <t>VH1046</t>
  </si>
  <si>
    <t>Miss Chanandler Bong Garage</t>
  </si>
  <si>
    <t>VH1047</t>
  </si>
  <si>
    <t>VH1048</t>
  </si>
  <si>
    <t>Rachel Greep Workshop</t>
  </si>
  <si>
    <t>VH1049</t>
  </si>
  <si>
    <t>VH1050</t>
  </si>
  <si>
    <t>VH1051</t>
  </si>
  <si>
    <t>VH1052</t>
  </si>
  <si>
    <t>VH1053</t>
  </si>
  <si>
    <t>VH1054</t>
  </si>
  <si>
    <t>VH1055</t>
  </si>
  <si>
    <t>VH1056</t>
  </si>
  <si>
    <t>VH1057</t>
  </si>
  <si>
    <t>VH1058</t>
  </si>
  <si>
    <t>VH1059</t>
  </si>
  <si>
    <t>VH1060</t>
  </si>
  <si>
    <t>VH1061</t>
  </si>
  <si>
    <t>VH1062</t>
  </si>
  <si>
    <t>VH1063</t>
  </si>
  <si>
    <t>VH1064</t>
  </si>
  <si>
    <t>VH1065</t>
  </si>
  <si>
    <t>VH1066</t>
  </si>
  <si>
    <t>Ctrl Perk Repairs</t>
  </si>
  <si>
    <t>VH1067</t>
  </si>
  <si>
    <t>VH1068</t>
  </si>
  <si>
    <t>VH1069</t>
  </si>
  <si>
    <t>VH1070</t>
  </si>
  <si>
    <t>VH1071</t>
  </si>
  <si>
    <t>VH1072</t>
  </si>
  <si>
    <t>VH1073</t>
  </si>
  <si>
    <t>VH1074</t>
  </si>
  <si>
    <t>VH1075</t>
  </si>
  <si>
    <t>VH1076</t>
  </si>
  <si>
    <t>VH1077</t>
  </si>
  <si>
    <t>VH1078</t>
  </si>
  <si>
    <t>VH1079</t>
  </si>
  <si>
    <t>VH1080</t>
  </si>
  <si>
    <t>VH1081</t>
  </si>
  <si>
    <t>VH1082</t>
  </si>
  <si>
    <t>VH1083</t>
  </si>
  <si>
    <t>VH1084</t>
  </si>
  <si>
    <t>VH1085</t>
  </si>
  <si>
    <t>VH1086</t>
  </si>
  <si>
    <t>VH1087</t>
  </si>
  <si>
    <t>VH1088</t>
  </si>
  <si>
    <t>VH1089</t>
  </si>
  <si>
    <t>VH1090</t>
  </si>
  <si>
    <t>VH1091</t>
  </si>
  <si>
    <t>VH1092</t>
  </si>
  <si>
    <t>VH1093</t>
  </si>
  <si>
    <t>VH1094</t>
  </si>
  <si>
    <t>VH1095</t>
  </si>
  <si>
    <t>VH1096</t>
  </si>
  <si>
    <t>VH1097</t>
  </si>
  <si>
    <t>VH1098</t>
  </si>
  <si>
    <t>VH1099</t>
  </si>
  <si>
    <t>Hours_To_Book</t>
  </si>
  <si>
    <t>Total_VOR_Days</t>
  </si>
  <si>
    <t>Issues</t>
  </si>
  <si>
    <t>Actions Taken</t>
  </si>
  <si>
    <t>Columns imported as General format</t>
  </si>
  <si>
    <t>Updated date/time fields to Date/Time, ID fields to Text, numeric fields to Number</t>
  </si>
  <si>
    <t>Inconsistent garage name spelling</t>
  </si>
  <si>
    <t>1 Missing Garage_In_Date for Vehicle_ID VH1017</t>
  </si>
  <si>
    <t>Excluded from VOR garage turnaround and repair lead time analysis as vehicle arrival date could not be verified</t>
  </si>
  <si>
    <t>1 Missing confirmation as to whether VOR days were a result of a defect found during the MOT Test for  Vehicle_ID VH1027</t>
  </si>
  <si>
    <t>Verified from repair records and MOT history</t>
  </si>
  <si>
    <t>2 Missing Repeated_Defect_Last_30_Days value for Vehicle_ID VH1097 and VH1032</t>
  </si>
  <si>
    <t>Checked repair history and updated records</t>
  </si>
  <si>
    <t>1 Missing Vehicle_Type for Vehicle_ID VH1022</t>
  </si>
  <si>
    <t>Verified using Vehicle_ID and updated record</t>
  </si>
  <si>
    <t>VOR SLA Compliance</t>
  </si>
  <si>
    <t>VOR SLA Breach</t>
  </si>
  <si>
    <t>Incorrect Job Scoping</t>
  </si>
  <si>
    <t>Booking_SLA_Breached?</t>
  </si>
  <si>
    <t>VOR_SLA_Breached?</t>
  </si>
  <si>
    <t>Specialist_Priority_Effectiveness</t>
  </si>
  <si>
    <t>Unknown / Insufficient Data</t>
  </si>
  <si>
    <t>Hours_To_Start_Repair</t>
  </si>
  <si>
    <t>Garage Name</t>
  </si>
  <si>
    <t>FLEET MANAGEMENT DASHBOARD</t>
  </si>
  <si>
    <t>Total Vehicles</t>
  </si>
  <si>
    <t>Avg VOR Days</t>
  </si>
  <si>
    <t>Booking SLA Breach</t>
  </si>
  <si>
    <t>Avg Hours to Book</t>
  </si>
  <si>
    <t>VOR SLA Status</t>
  </si>
  <si>
    <t>Count</t>
  </si>
  <si>
    <t>Compliant (≤3.5 days)</t>
  </si>
  <si>
    <t>Breach (&gt;3.5 days)</t>
  </si>
  <si>
    <t>Delay Reason</t>
  </si>
  <si>
    <t>FLEET MANAGEMENT DASHBOARD (PivotTable Version)</t>
  </si>
  <si>
    <t>Row Labels</t>
  </si>
  <si>
    <t>Grand Total</t>
  </si>
  <si>
    <t>Count of Vehicle_ID</t>
  </si>
  <si>
    <t>Average of Total_VOR_Days</t>
  </si>
  <si>
    <t>Average of Hours_To_Book</t>
  </si>
  <si>
    <t>Avg VOR Days by Garage</t>
  </si>
  <si>
    <t>Delay Reasons Breakdown</t>
  </si>
  <si>
    <t>KPI Summary</t>
  </si>
  <si>
    <t>VOR SLA Breached?</t>
  </si>
  <si>
    <t>Count of Total_VOR_Days</t>
  </si>
  <si>
    <t>VOR by Make / Model</t>
  </si>
  <si>
    <t>Renault Master</t>
  </si>
  <si>
    <t>Standardise garage names, e.g Ctrl Perk Repairs changed to Central Perk Repairs</t>
  </si>
  <si>
    <t>Item</t>
  </si>
  <si>
    <t>Details</t>
  </si>
  <si>
    <t>Business Question</t>
  </si>
  <si>
    <t>For Specialise vehicles meeting the 48-hour booking SLA, did they also meet the 3.5-day VOR SLA?</t>
  </si>
  <si>
    <t xml:space="preserve">Original formula </t>
  </si>
  <si>
    <t>=IF([@[Vehicle_Type]] &lt;&gt; "Specialised", "Not Applicable", IF(AND([@[Hours_To_Book]] &lt;=48, [@[Total_VOR_Days]] &gt;3.5), "Ineffective", "Effective"))</t>
  </si>
  <si>
    <t>Issue Identified</t>
  </si>
  <si>
    <t>Specialist vehicles breaching booking SLA fell into the final "Effective" outcome</t>
  </si>
  <si>
    <t>Example</t>
  </si>
  <si>
    <t>52.5 booking hours and 4.4 VOR days was incorrectly marked "Effective"</t>
  </si>
  <si>
    <t>Root cause</t>
  </si>
  <si>
    <t>Final 'ELSE' acted as a catch-all for every condition not ecplicitly handled</t>
  </si>
  <si>
    <t>Correction</t>
  </si>
  <si>
    <t>Exclude booking-SLA breaches as "Not Assessed" before testing VOR effectiveness</t>
  </si>
  <si>
    <t>Validation</t>
  </si>
  <si>
    <t xml:space="preserve">Filtered each outcome and checked boundary/exception records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</si>
</sst>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hh:mm"/>
    <numFmt numFmtId="165" formatCode="0.0"/>
    <numFmt numFmtId="166" formatCode="0.0%"/>
  </numFmts>
  <fonts count="11">
    <font>
      <sz val="11"/>
      <name val="Carlito"/>
    </font>
    <font>
      <b/>
      <sz val="11"/>
      <color rgb="FFFFFFFF"/>
      <name val="Carlito"/>
    </font>
    <font>
      <b/>
      <sz val="11"/>
      <name val="Carlito"/>
    </font>
    <font>
      <b/>
      <sz val="16"/>
      <name val="Carlito"/>
    </font>
    <font>
      <b/>
      <sz val="11"/>
      <color rgb="FFFFFFFF"/>
      <name val="Carlito"/>
    </font>
    <font>
      <sz val="11"/>
      <color theme="1"/>
      <name val="Carlito"/>
    </font>
    <font>
      <b/>
      <sz val="11"/>
      <color theme="1"/>
      <name val="Carlito"/>
    </font>
    <font>
      <sz val="8"/>
      <name val="Carlito"/>
    </font>
    <font>
      <b/>
      <sz val="18"/>
      <name val="Carlito"/>
    </font>
    <font>
      <b/>
      <sz val="10"/>
      <color rgb="FF666666"/>
      <name val="Carlito"/>
    </font>
    <font>
      <b/>
      <sz val="24"/>
      <name val="Carlito"/>
    </font>
  </fonts>
  <fills count="12">
    <fill>
      <patternFill patternType="none"/>
    </fill>
    <fill>
      <patternFill patternType="gray125"/>
    </fill>
    <fill>
      <patternFill patternType="solid">
        <fgColor theme="6" tint="0.79998168889431442"/>
        <bgColor indexed="64"/>
      </patternFill>
    </fill>
    <fill>
      <patternFill patternType="solid">
        <fgColor rgb="FF0F766E"/>
      </patternFill>
    </fill>
    <fill>
      <patternFill patternType="solid">
        <fgColor theme="4" tint="0.79998168889431442"/>
        <bgColor theme="4" tint="0.79998168889431442"/>
      </patternFill>
    </fill>
    <fill>
      <patternFill patternType="solid">
        <fgColor rgb="FF0F766E"/>
        <bgColor indexed="64"/>
      </patternFill>
    </fill>
    <fill>
      <patternFill patternType="solid">
        <fgColor rgb="FFE8F4FD"/>
        <bgColor indexed="64"/>
      </patternFill>
    </fill>
    <fill>
      <patternFill patternType="solid">
        <fgColor rgb="FFFFF3E0"/>
        <bgColor indexed="64"/>
      </patternFill>
    </fill>
    <fill>
      <patternFill patternType="solid">
        <fgColor rgb="FFE8F5E9"/>
        <bgColor indexed="64"/>
      </patternFill>
    </fill>
    <fill>
      <patternFill patternType="solid">
        <fgColor rgb="FFFFEBEE"/>
        <bgColor indexed="64"/>
      </patternFill>
    </fill>
    <fill>
      <patternFill patternType="solid">
        <fgColor rgb="FFFFF8E1"/>
        <bgColor indexed="64"/>
      </patternFill>
    </fill>
    <fill>
      <patternFill patternType="solid">
        <fgColor rgb="FFF3E5F5"/>
        <bgColor indexed="64"/>
      </patternFill>
    </fill>
  </fills>
  <borders count="10">
    <border>
      <left/>
      <right/>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style="double">
        <color theme="4"/>
      </top>
      <bottom style="thin">
        <color theme="4" tint="0.39997558519241921"/>
      </bottom>
      <diagonal/>
    </border>
    <border>
      <left/>
      <right style="thin">
        <color theme="4" tint="0.39997558519241921"/>
      </right>
      <top style="double">
        <color theme="4"/>
      </top>
      <bottom style="thin">
        <color theme="4" tint="0.39997558519241921"/>
      </bottom>
      <diagonal/>
    </border>
    <border>
      <left style="thin">
        <color theme="4" tint="0.39997558519241921"/>
      </left>
      <right/>
      <top/>
      <bottom/>
      <diagonal/>
    </border>
    <border>
      <left/>
      <right style="thin">
        <color theme="4" tint="0.3999755851924192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s>
  <cellStyleXfs count="1">
    <xf numFmtId="0" fontId="0" fillId="0" borderId="0"/>
  </cellStyleXfs>
  <cellXfs count="67">
    <xf numFmtId="0" fontId="0" fillId="0" borderId="0" xfId="0"/>
    <xf numFmtId="164" fontId="0" fillId="0" borderId="0" xfId="0" applyNumberFormat="1"/>
    <xf numFmtId="0" fontId="2" fillId="0" borderId="0" xfId="0" applyFont="1"/>
    <xf numFmtId="14" fontId="0" fillId="0" borderId="0" xfId="0" applyNumberFormat="1"/>
    <xf numFmtId="2" fontId="0" fillId="0" borderId="0" xfId="0" applyNumberFormat="1"/>
    <xf numFmtId="49" fontId="0" fillId="0" borderId="0" xfId="0" applyNumberFormat="1"/>
    <xf numFmtId="2" fontId="0" fillId="0" borderId="0" xfId="0" applyNumberFormat="1" applyAlignment="1">
      <alignment horizontal="center"/>
    </xf>
    <xf numFmtId="0" fontId="0" fillId="2" borderId="0" xfId="0" applyFill="1"/>
    <xf numFmtId="14" fontId="0" fillId="0" borderId="0" xfId="0" applyNumberFormat="1" applyAlignment="1">
      <alignment horizontal="center"/>
    </xf>
    <xf numFmtId="0" fontId="4" fillId="3" borderId="0" xfId="0" applyFont="1" applyFill="1" applyAlignment="1">
      <alignment horizontal="center" vertical="center" wrapText="1"/>
    </xf>
    <xf numFmtId="0" fontId="1" fillId="3" borderId="2" xfId="0" applyFont="1" applyFill="1" applyBorder="1" applyAlignment="1">
      <alignment horizontal="center" vertical="center" wrapText="1"/>
    </xf>
    <xf numFmtId="164" fontId="1" fillId="3" borderId="2" xfId="0" applyNumberFormat="1" applyFont="1" applyFill="1" applyBorder="1" applyAlignment="1">
      <alignment horizontal="center" vertical="center" wrapText="1"/>
    </xf>
    <xf numFmtId="0" fontId="1" fillId="3" borderId="3" xfId="0" applyFont="1" applyFill="1" applyBorder="1" applyAlignment="1">
      <alignment horizontal="center" vertical="center" wrapText="1"/>
    </xf>
    <xf numFmtId="0" fontId="5" fillId="4" borderId="2" xfId="0" applyFont="1" applyFill="1" applyBorder="1" applyAlignment="1">
      <alignment wrapText="1"/>
    </xf>
    <xf numFmtId="164" fontId="5" fillId="4" borderId="2" xfId="0" applyNumberFormat="1" applyFont="1" applyFill="1" applyBorder="1" applyAlignment="1">
      <alignment wrapText="1"/>
    </xf>
    <xf numFmtId="0" fontId="5" fillId="4" borderId="3" xfId="0" applyFont="1" applyFill="1" applyBorder="1" applyAlignment="1">
      <alignment wrapText="1"/>
    </xf>
    <xf numFmtId="0" fontId="5" fillId="0" borderId="2" xfId="0" applyFont="1" applyBorder="1" applyAlignment="1">
      <alignment wrapText="1"/>
    </xf>
    <xf numFmtId="164" fontId="5" fillId="0" borderId="2" xfId="0" applyNumberFormat="1" applyFont="1" applyBorder="1" applyAlignment="1">
      <alignment wrapText="1"/>
    </xf>
    <xf numFmtId="0" fontId="5" fillId="0" borderId="3" xfId="0" applyFont="1" applyBorder="1" applyAlignment="1">
      <alignment wrapText="1"/>
    </xf>
    <xf numFmtId="0" fontId="6" fillId="0" borderId="4" xfId="0" applyFont="1" applyBorder="1"/>
    <xf numFmtId="164" fontId="6" fillId="0" borderId="4" xfId="0" applyNumberFormat="1" applyFont="1" applyBorder="1"/>
    <xf numFmtId="0" fontId="6" fillId="0" borderId="5" xfId="0" applyFont="1" applyBorder="1"/>
    <xf numFmtId="49" fontId="5" fillId="4" borderId="1" xfId="0" applyNumberFormat="1" applyFont="1" applyFill="1" applyBorder="1" applyAlignment="1">
      <alignment horizontal="center" wrapText="1"/>
    </xf>
    <xf numFmtId="49" fontId="5" fillId="4" borderId="2" xfId="0" applyNumberFormat="1" applyFont="1" applyFill="1" applyBorder="1" applyAlignment="1">
      <alignment wrapText="1"/>
    </xf>
    <xf numFmtId="2" fontId="5" fillId="4" borderId="2" xfId="0" applyNumberFormat="1" applyFont="1" applyFill="1" applyBorder="1" applyAlignment="1">
      <alignment horizontal="center" wrapText="1"/>
    </xf>
    <xf numFmtId="14" fontId="5" fillId="4" borderId="2" xfId="0" applyNumberFormat="1" applyFont="1" applyFill="1" applyBorder="1" applyAlignment="1">
      <alignment wrapText="1"/>
    </xf>
    <xf numFmtId="0" fontId="5" fillId="4" borderId="2" xfId="0" applyFont="1" applyFill="1" applyBorder="1" applyAlignment="1">
      <alignment horizontal="center" wrapText="1"/>
    </xf>
    <xf numFmtId="49" fontId="5" fillId="4" borderId="3" xfId="0" applyNumberFormat="1" applyFont="1" applyFill="1" applyBorder="1" applyAlignment="1">
      <alignment wrapText="1"/>
    </xf>
    <xf numFmtId="49" fontId="5" fillId="0" borderId="1" xfId="0" applyNumberFormat="1" applyFont="1" applyBorder="1" applyAlignment="1">
      <alignment horizontal="center" wrapText="1"/>
    </xf>
    <xf numFmtId="49" fontId="5" fillId="0" borderId="2" xfId="0" applyNumberFormat="1" applyFont="1" applyBorder="1" applyAlignment="1">
      <alignment wrapText="1"/>
    </xf>
    <xf numFmtId="2" fontId="5" fillId="0" borderId="2" xfId="0" applyNumberFormat="1" applyFont="1" applyBorder="1" applyAlignment="1">
      <alignment horizontal="center" wrapText="1"/>
    </xf>
    <xf numFmtId="14" fontId="5" fillId="0" borderId="2" xfId="0" applyNumberFormat="1" applyFont="1" applyBorder="1" applyAlignment="1">
      <alignment wrapText="1"/>
    </xf>
    <xf numFmtId="0" fontId="5" fillId="0" borderId="2" xfId="0" applyFont="1" applyBorder="1" applyAlignment="1">
      <alignment horizontal="center" wrapText="1"/>
    </xf>
    <xf numFmtId="49" fontId="5" fillId="0" borderId="3" xfId="0" applyNumberFormat="1" applyFont="1" applyBorder="1" applyAlignment="1">
      <alignment wrapText="1"/>
    </xf>
    <xf numFmtId="14" fontId="1" fillId="5" borderId="0" xfId="0" applyNumberFormat="1" applyFont="1" applyFill="1" applyAlignment="1">
      <alignment horizontal="center" vertical="center" wrapText="1"/>
    </xf>
    <xf numFmtId="49" fontId="5" fillId="4" borderId="0" xfId="0" applyNumberFormat="1" applyFont="1" applyFill="1" applyAlignment="1">
      <alignment wrapText="1"/>
    </xf>
    <xf numFmtId="14" fontId="5" fillId="4" borderId="0" xfId="0" applyNumberFormat="1" applyFont="1" applyFill="1" applyAlignment="1">
      <alignment wrapText="1"/>
    </xf>
    <xf numFmtId="49" fontId="5" fillId="4" borderId="7" xfId="0" applyNumberFormat="1" applyFont="1" applyFill="1" applyBorder="1" applyAlignment="1">
      <alignment wrapText="1"/>
    </xf>
    <xf numFmtId="14" fontId="1" fillId="5" borderId="7" xfId="0" applyNumberFormat="1" applyFont="1" applyFill="1" applyBorder="1" applyAlignment="1">
      <alignment horizontal="center" vertical="center" wrapText="1"/>
    </xf>
    <xf numFmtId="2" fontId="5" fillId="4" borderId="0" xfId="0" applyNumberFormat="1" applyFont="1" applyFill="1" applyAlignment="1">
      <alignment horizontal="center" wrapText="1"/>
    </xf>
    <xf numFmtId="0" fontId="5" fillId="4" borderId="0" xfId="0" applyFont="1" applyFill="1" applyAlignment="1">
      <alignment horizontal="center" wrapText="1"/>
    </xf>
    <xf numFmtId="49" fontId="5" fillId="4" borderId="6" xfId="0" applyNumberFormat="1" applyFont="1" applyFill="1" applyBorder="1" applyAlignment="1">
      <alignment horizontal="center" wrapText="1"/>
    </xf>
    <xf numFmtId="164" fontId="1" fillId="5" borderId="0" xfId="0" applyNumberFormat="1" applyFont="1" applyFill="1" applyAlignment="1">
      <alignment horizontal="center" vertical="center" wrapText="1"/>
    </xf>
    <xf numFmtId="164" fontId="5" fillId="4" borderId="0" xfId="0" applyNumberFormat="1" applyFont="1" applyFill="1" applyAlignment="1">
      <alignment wrapText="1"/>
    </xf>
    <xf numFmtId="0" fontId="5" fillId="0" borderId="0" xfId="0" applyFont="1" applyAlignment="1">
      <alignment horizontal="center" wrapText="1"/>
    </xf>
    <xf numFmtId="0" fontId="0" fillId="0" borderId="0" xfId="0" applyAlignment="1">
      <alignment wrapText="1"/>
    </xf>
    <xf numFmtId="0" fontId="8" fillId="0" borderId="0" xfId="0" applyFont="1"/>
    <xf numFmtId="0" fontId="9" fillId="6" borderId="8" xfId="0" applyFont="1" applyFill="1" applyBorder="1" applyAlignment="1">
      <alignment horizontal="center"/>
    </xf>
    <xf numFmtId="0" fontId="10" fillId="6" borderId="9" xfId="0" applyFont="1" applyFill="1" applyBorder="1" applyAlignment="1">
      <alignment horizontal="center"/>
    </xf>
    <xf numFmtId="0" fontId="9" fillId="7" borderId="8" xfId="0" applyFont="1" applyFill="1" applyBorder="1" applyAlignment="1">
      <alignment horizontal="center"/>
    </xf>
    <xf numFmtId="0" fontId="10" fillId="7" borderId="9" xfId="0" applyFont="1" applyFill="1" applyBorder="1" applyAlignment="1">
      <alignment horizontal="center"/>
    </xf>
    <xf numFmtId="0" fontId="9" fillId="8" borderId="8" xfId="0" applyFont="1" applyFill="1" applyBorder="1" applyAlignment="1">
      <alignment horizontal="center"/>
    </xf>
    <xf numFmtId="9" fontId="10" fillId="8" borderId="9" xfId="0" applyNumberFormat="1" applyFont="1" applyFill="1" applyBorder="1" applyAlignment="1">
      <alignment horizontal="center"/>
    </xf>
    <xf numFmtId="0" fontId="9" fillId="9" borderId="8" xfId="0" applyFont="1" applyFill="1" applyBorder="1" applyAlignment="1">
      <alignment horizontal="center"/>
    </xf>
    <xf numFmtId="9" fontId="10" fillId="9" borderId="9" xfId="0" applyNumberFormat="1" applyFont="1" applyFill="1" applyBorder="1" applyAlignment="1">
      <alignment horizontal="center"/>
    </xf>
    <xf numFmtId="0" fontId="9" fillId="10" borderId="8" xfId="0" applyFont="1" applyFill="1" applyBorder="1" applyAlignment="1">
      <alignment horizontal="center"/>
    </xf>
    <xf numFmtId="9" fontId="10" fillId="10" borderId="9" xfId="0" applyNumberFormat="1" applyFont="1" applyFill="1" applyBorder="1" applyAlignment="1">
      <alignment horizontal="center"/>
    </xf>
    <xf numFmtId="0" fontId="9" fillId="11" borderId="8" xfId="0" applyFont="1" applyFill="1" applyBorder="1" applyAlignment="1">
      <alignment horizontal="center"/>
    </xf>
    <xf numFmtId="0" fontId="10" fillId="11" borderId="9" xfId="0" applyFont="1" applyFill="1" applyBorder="1" applyAlignment="1">
      <alignment horizontal="center"/>
    </xf>
    <xf numFmtId="0" fontId="0" fillId="0" borderId="0" xfId="0" applyAlignment="1">
      <alignment horizontal="center" wrapText="1"/>
    </xf>
    <xf numFmtId="0" fontId="3" fillId="0" borderId="0" xfId="0" applyFont="1"/>
    <xf numFmtId="0" fontId="0" fillId="0" borderId="0" xfId="0" pivotButton="1"/>
    <xf numFmtId="0" fontId="0" fillId="0" borderId="0" xfId="0" applyAlignment="1">
      <alignment horizontal="left"/>
    </xf>
    <xf numFmtId="165" fontId="0" fillId="0" borderId="0" xfId="0" applyNumberFormat="1"/>
    <xf numFmtId="0" fontId="2" fillId="0" borderId="0" xfId="0" applyFont="1" applyAlignment="1">
      <alignment horizontal="left"/>
    </xf>
    <xf numFmtId="2" fontId="5" fillId="0" borderId="2" xfId="0" applyNumberFormat="1" applyFont="1" applyBorder="1" applyAlignment="1">
      <alignment wrapText="1"/>
    </xf>
    <xf numFmtId="0" fontId="0" fillId="0" borderId="0" xfId="0" applyNumberFormat="1"/>
  </cellXfs>
  <cellStyles count="1">
    <cellStyle name="Normal" xfId="0" builtinId="0"/>
  </cellStyles>
  <dxfs count="47">
    <dxf>
      <font>
        <b val="0"/>
        <i val="0"/>
        <strike val="0"/>
        <condense val="0"/>
        <extend val="0"/>
        <outline val="0"/>
        <shadow val="0"/>
        <u val="none"/>
        <vertAlign val="baseline"/>
        <sz val="11"/>
        <color theme="1"/>
        <name val="Carlito"/>
        <scheme val="none"/>
      </font>
      <numFmt numFmtId="0" formatCode="General"/>
      <alignment horizontal="center" vertical="bottom" textRotation="0" wrapText="1"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rlito"/>
        <scheme val="none"/>
      </font>
      <numFmt numFmtId="2" formatCode="0.00"/>
      <alignment horizontal="center" vertical="bottom" textRotation="0" wrapText="1"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theme="1"/>
        <name val="Carlito"/>
        <scheme val="none"/>
      </font>
      <numFmt numFmtId="2" formatCode="0.00"/>
      <alignment horizontal="center" vertical="bottom" textRotation="0" wrapText="1" indent="0" justifyLastLine="0" shrinkToFit="0" readingOrder="0"/>
      <border diagonalUp="0" diagonalDown="0">
        <left/>
        <right/>
        <top style="thin">
          <color theme="4" tint="0.39997558519241921"/>
        </top>
        <bottom/>
        <vertical/>
        <horizontal/>
      </border>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theme="1"/>
        <name val="Carlito"/>
        <scheme val="none"/>
      </font>
      <alignment horizontal="center" vertical="bottom" textRotation="0" wrapText="1"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theme="1"/>
        <name val="Carlito"/>
        <scheme val="none"/>
      </font>
      <alignment horizontal="center" vertical="bottom" textRotation="0" wrapText="1"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theme="1"/>
        <name val="Carlito"/>
        <scheme val="none"/>
      </font>
      <alignment horizontal="center" vertical="bottom" textRotation="0" wrapText="1"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theme="1"/>
        <name val="Carlito"/>
        <scheme val="none"/>
      </font>
      <alignment horizontal="center" vertical="bottom" textRotation="0" wrapText="1"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theme="1"/>
        <name val="Carlito"/>
        <scheme val="none"/>
      </font>
      <numFmt numFmtId="2" formatCode="0.00"/>
      <alignment horizontal="center" vertical="bottom" textRotation="0" wrapText="1"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theme="1"/>
        <name val="Carlito"/>
        <scheme val="none"/>
      </font>
      <numFmt numFmtId="30" formatCode="@"/>
      <alignment horizontal="general" vertical="bottom" textRotation="0" wrapText="1" indent="0" justifyLastLine="0" shrinkToFit="0" readingOrder="0"/>
      <border diagonalUp="0" diagonalDown="0" outline="0">
        <left/>
        <right style="thin">
          <color theme="4" tint="0.39997558519241921"/>
        </right>
        <top style="thin">
          <color theme="4" tint="0.39997558519241921"/>
        </top>
        <bottom/>
      </border>
    </dxf>
    <dxf>
      <font>
        <b val="0"/>
        <i val="0"/>
        <strike val="0"/>
        <condense val="0"/>
        <extend val="0"/>
        <outline val="0"/>
        <shadow val="0"/>
        <u val="none"/>
        <vertAlign val="baseline"/>
        <sz val="11"/>
        <color theme="1"/>
        <name val="Carlito"/>
        <scheme val="none"/>
      </font>
      <numFmt numFmtId="2" formatCode="0.00"/>
      <alignment horizontal="general" vertical="bottom" textRotation="0" wrapText="1"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theme="1"/>
        <name val="Carlito"/>
        <scheme val="none"/>
      </font>
      <numFmt numFmtId="164" formatCode="yyyy\-mm\-dd\ hh:mm"/>
      <alignment horizontal="general" vertical="bottom" textRotation="0" wrapText="1"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theme="1"/>
        <name val="Carlito"/>
        <scheme val="none"/>
      </font>
      <numFmt numFmtId="164" formatCode="yyyy\-mm\-dd\ hh:mm"/>
      <alignment horizontal="general" vertical="bottom" textRotation="0" wrapText="1"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theme="1"/>
        <name val="Carlito"/>
        <scheme val="none"/>
      </font>
      <numFmt numFmtId="164" formatCode="yyyy\-mm\-dd\ hh:mm"/>
      <alignment horizontal="general" vertical="bottom" textRotation="0" wrapText="1"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theme="1"/>
        <name val="Carlito"/>
        <scheme val="none"/>
      </font>
      <numFmt numFmtId="164" formatCode="yyyy\-mm\-dd\ hh:mm"/>
      <alignment horizontal="general" vertical="bottom" textRotation="0" wrapText="1"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theme="1"/>
        <name val="Carlito"/>
        <scheme val="none"/>
      </font>
      <numFmt numFmtId="164" formatCode="yyyy\-mm\-dd\ hh:mm"/>
      <alignment horizontal="general" vertical="bottom" textRotation="0" wrapText="1"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theme="1"/>
        <name val="Carlito"/>
        <scheme val="none"/>
      </font>
      <numFmt numFmtId="164" formatCode="yyyy\-mm\-dd\ hh:mm"/>
      <alignment horizontal="general" vertical="bottom" textRotation="0" wrapText="1"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theme="1"/>
        <name val="Carlito"/>
        <scheme val="none"/>
      </font>
      <numFmt numFmtId="30" formatCode="@"/>
      <alignment horizontal="general" vertical="bottom" textRotation="0" wrapText="1"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theme="1"/>
        <name val="Carlito"/>
        <scheme val="none"/>
      </font>
      <numFmt numFmtId="30" formatCode="@"/>
      <alignment horizontal="general" vertical="bottom" textRotation="0" wrapText="1"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1"/>
        <color theme="1"/>
        <name val="Carlito"/>
        <scheme val="none"/>
      </font>
      <numFmt numFmtId="30" formatCode="@"/>
      <alignment horizontal="center" vertical="bottom" textRotation="0" wrapText="1" indent="0" justifyLastLine="0" shrinkToFit="0" readingOrder="0"/>
      <border diagonalUp="0" diagonalDown="0" outline="0">
        <left style="thin">
          <color theme="4" tint="0.39997558519241921"/>
        </left>
        <right/>
        <top style="thin">
          <color theme="4" tint="0.39997558519241921"/>
        </top>
        <bottom/>
      </border>
    </dxf>
    <dxf>
      <border outline="0">
        <left style="thin">
          <color theme="4" tint="0.39997558519241921"/>
        </left>
      </border>
    </dxf>
    <dxf>
      <font>
        <b/>
        <i val="0"/>
        <strike val="0"/>
        <condense val="0"/>
        <extend val="0"/>
        <outline val="0"/>
        <shadow val="0"/>
        <u val="none"/>
        <vertAlign val="baseline"/>
        <sz val="11"/>
        <color rgb="FFFFFFFF"/>
        <name val="Carlito"/>
        <scheme val="none"/>
      </font>
      <fill>
        <patternFill patternType="solid">
          <fgColor indexed="64"/>
          <bgColor rgb="FF0F766E"/>
        </patternFill>
      </fill>
      <alignment horizontal="center" vertical="center" textRotation="0" wrapText="1" indent="0" justifyLastLine="0" shrinkToFit="0" readingOrder="0"/>
      <border diagonalUp="0" diagonalDown="0" outline="0">
        <left style="thin">
          <color theme="4" tint="0.39997558519241921"/>
        </left>
        <right style="thin">
          <color theme="4" tint="0.39997558519241921"/>
        </right>
        <top/>
        <bottom/>
      </border>
    </dxf>
    <dxf>
      <font>
        <b val="0"/>
        <i val="0"/>
        <strike val="0"/>
        <condense val="0"/>
        <extend val="0"/>
        <outline val="0"/>
        <shadow val="0"/>
        <u val="none"/>
        <vertAlign val="baseline"/>
        <sz val="11"/>
        <color theme="1"/>
        <name val="Carlito"/>
        <scheme val="none"/>
      </font>
      <numFmt numFmtId="0" formatCode="General"/>
      <alignment horizontal="center" vertical="bottom" textRotation="0" wrapText="1"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rlito"/>
        <scheme val="none"/>
      </font>
      <numFmt numFmtId="0" formatCode="General"/>
      <alignment horizontal="center" vertical="bottom" textRotation="0" wrapText="1"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rlito"/>
        <scheme val="none"/>
      </font>
      <numFmt numFmtId="0" formatCode="General"/>
      <alignment horizontal="center" vertical="bottom" textRotation="0" wrapText="1"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rlito"/>
        <scheme val="none"/>
      </font>
      <numFmt numFmtId="2" formatCode="0.00"/>
      <alignment horizontal="center" vertical="bottom" textRotation="0" wrapText="1"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rlito"/>
        <scheme val="none"/>
      </font>
      <numFmt numFmtId="30" formatCode="@"/>
      <alignment horizontal="general" vertical="bottom" textRotation="0" wrapText="1" indent="0" justifyLastLine="0" shrinkToFit="0" readingOrder="0"/>
      <border diagonalUp="0" diagonalDown="0">
        <left/>
        <right style="thin">
          <color theme="4" tint="0.39997558519241921"/>
        </right>
        <top style="thin">
          <color theme="4" tint="0.39997558519241921"/>
        </top>
        <bottom/>
        <vertical/>
        <horizontal/>
      </border>
    </dxf>
    <dxf>
      <font>
        <b val="0"/>
        <i val="0"/>
        <strike val="0"/>
        <condense val="0"/>
        <extend val="0"/>
        <outline val="0"/>
        <shadow val="0"/>
        <u val="none"/>
        <vertAlign val="baseline"/>
        <sz val="11"/>
        <color theme="1"/>
        <name val="Carlito"/>
        <scheme val="none"/>
      </font>
      <numFmt numFmtId="19" formatCode="dd/mm/yyyy"/>
      <alignment horizontal="general" vertical="bottom" textRotation="0" wrapText="1"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rlito"/>
        <scheme val="none"/>
      </font>
      <numFmt numFmtId="164" formatCode="yyyy\-mm\-dd\ hh:mm"/>
      <alignment horizontal="general" vertical="bottom" textRotation="0" wrapText="1"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rlito"/>
        <scheme val="none"/>
      </font>
      <numFmt numFmtId="164" formatCode="yyyy\-mm\-dd\ hh:mm"/>
      <alignment horizontal="general" vertical="bottom" textRotation="0" wrapText="1"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rlito"/>
        <scheme val="none"/>
      </font>
      <numFmt numFmtId="164" formatCode="yyyy\-mm\-dd\ hh:mm"/>
      <alignment horizontal="general" vertical="bottom" textRotation="0" wrapText="1"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rlito"/>
        <scheme val="none"/>
      </font>
      <numFmt numFmtId="164" formatCode="yyyy\-mm\-dd\ hh:mm"/>
      <alignment horizontal="general" vertical="bottom" textRotation="0" wrapText="1"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rlito"/>
        <scheme val="none"/>
      </font>
      <numFmt numFmtId="164" formatCode="yyyy\-mm\-dd\ hh:mm"/>
      <alignment horizontal="general" vertical="bottom" textRotation="0" wrapText="1"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rlito"/>
        <scheme val="none"/>
      </font>
      <numFmt numFmtId="164" formatCode="yyyy\-mm\-dd\ hh:mm"/>
      <alignment horizontal="general" vertical="bottom" textRotation="0" wrapText="1"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rlito"/>
        <scheme val="none"/>
      </font>
      <numFmt numFmtId="30" formatCode="@"/>
      <alignment horizontal="general" vertical="bottom" textRotation="0" wrapText="1"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rlito"/>
        <scheme val="none"/>
      </font>
      <numFmt numFmtId="30" formatCode="@"/>
      <alignment horizontal="general" vertical="bottom" textRotation="0" wrapText="1"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rlito"/>
        <scheme val="none"/>
      </font>
      <numFmt numFmtId="30" formatCode="@"/>
      <alignment horizontal="center" vertical="bottom" textRotation="0" wrapText="1" indent="0" justifyLastLine="0" shrinkToFit="0" readingOrder="0"/>
      <border diagonalUp="0" diagonalDown="0">
        <left style="thin">
          <color theme="4" tint="0.39997558519241921"/>
        </left>
        <right/>
        <top style="thin">
          <color theme="4" tint="0.39997558519241921"/>
        </top>
        <bottom/>
        <vertical/>
        <horizontal/>
      </border>
    </dxf>
    <dxf>
      <border outline="0">
        <bottom style="thin">
          <color theme="4" tint="0.39997558519241921"/>
        </bottom>
      </border>
    </dxf>
    <dxf>
      <font>
        <b val="0"/>
        <i val="0"/>
        <strike val="0"/>
        <condense val="0"/>
        <extend val="0"/>
        <outline val="0"/>
        <shadow val="0"/>
        <u val="none"/>
        <vertAlign val="baseline"/>
        <sz val="11"/>
        <color theme="1"/>
        <name val="Carlito"/>
        <scheme val="none"/>
      </font>
      <alignment horizontal="center" vertical="bottom" textRotation="0" wrapText="1" indent="0" justifyLastLine="0" shrinkToFit="0" readingOrder="0"/>
    </dxf>
    <dxf>
      <font>
        <b/>
        <i val="0"/>
        <strike val="0"/>
        <condense val="0"/>
        <extend val="0"/>
        <outline val="0"/>
        <shadow val="0"/>
        <u val="none"/>
        <vertAlign val="baseline"/>
        <sz val="11"/>
        <color rgb="FFFFFFFF"/>
        <name val="Carlito"/>
        <scheme val="none"/>
      </font>
      <numFmt numFmtId="19" formatCode="dd/mm/yyyy"/>
      <fill>
        <patternFill patternType="solid">
          <fgColor indexed="64"/>
          <bgColor rgb="FF0F766E"/>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VOR SLA Status</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752-489A-9E97-44928942323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752-489A-9E97-44928942323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Dashboard!$C$9:$C$10</c:f>
              <c:numCache>
                <c:formatCode>General</c:formatCode>
                <c:ptCount val="2"/>
                <c:pt idx="0">
                  <c:v>38</c:v>
                </c:pt>
                <c:pt idx="1">
                  <c:v>62</c:v>
                </c:pt>
              </c:numCache>
            </c:numRef>
          </c:val>
          <c:extLst>
            <c:ext xmlns:c16="http://schemas.microsoft.com/office/drawing/2014/chart" uri="{C3380CC4-5D6E-409C-BE32-E72D297353CC}">
              <c16:uniqueId val="{00000000-3788-4868-A92D-4E587D8C0E1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Avg VOR Days by Garage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Dashboard!$F$9:$F$18</c:f>
              <c:strCache>
                <c:ptCount val="10"/>
                <c:pt idx="0">
                  <c:v>15 Yemen Rd Garage</c:v>
                </c:pt>
                <c:pt idx="1">
                  <c:v>Central Perk Repairs</c:v>
                </c:pt>
                <c:pt idx="2">
                  <c:v>Dr Drake Ramoray Autos</c:v>
                </c:pt>
                <c:pt idx="3">
                  <c:v>Geller Repair Shop</c:v>
                </c:pt>
                <c:pt idx="4">
                  <c:v>Joey Special Auto Centre</c:v>
                </c:pt>
                <c:pt idx="5">
                  <c:v>Miss Chanandler Bong Garage</c:v>
                </c:pt>
                <c:pt idx="6">
                  <c:v>Mississippilessly Repairs</c:v>
                </c:pt>
                <c:pt idx="7">
                  <c:v>PIVOT Garage Repairs</c:v>
                </c:pt>
                <c:pt idx="8">
                  <c:v>Princess Consuela Auto Centre</c:v>
                </c:pt>
                <c:pt idx="9">
                  <c:v>Rachel Greep Workshop</c:v>
                </c:pt>
              </c:strCache>
            </c:strRef>
          </c:cat>
          <c:val>
            <c:numRef>
              <c:f>Dashboard!$G$9:$G$18</c:f>
              <c:numCache>
                <c:formatCode>General</c:formatCode>
                <c:ptCount val="10"/>
                <c:pt idx="0">
                  <c:v>3.3333333333300996</c:v>
                </c:pt>
                <c:pt idx="1">
                  <c:v>3.7066666666670547</c:v>
                </c:pt>
                <c:pt idx="2">
                  <c:v>4.1399999999979631</c:v>
                </c:pt>
                <c:pt idx="3">
                  <c:v>4.2111111111128894</c:v>
                </c:pt>
                <c:pt idx="4">
                  <c:v>4.844444444442666</c:v>
                </c:pt>
                <c:pt idx="5">
                  <c:v>3.4833333333323631</c:v>
                </c:pt>
                <c:pt idx="6">
                  <c:v>5.78999999999869</c:v>
                </c:pt>
                <c:pt idx="7">
                  <c:v>3.7692307692302096</c:v>
                </c:pt>
                <c:pt idx="8">
                  <c:v>4.9384615384601949</c:v>
                </c:pt>
                <c:pt idx="9">
                  <c:v>4.4833333333347882</c:v>
                </c:pt>
              </c:numCache>
            </c:numRef>
          </c:val>
          <c:extLst>
            <c:ext xmlns:c16="http://schemas.microsoft.com/office/drawing/2014/chart" uri="{C3380CC4-5D6E-409C-BE32-E72D297353CC}">
              <c16:uniqueId val="{00000000-7011-442C-862F-0C530AAA3A90}"/>
            </c:ext>
          </c:extLst>
        </c:ser>
        <c:dLbls>
          <c:showLegendKey val="0"/>
          <c:showVal val="0"/>
          <c:showCatName val="0"/>
          <c:showSerName val="0"/>
          <c:showPercent val="0"/>
          <c:showBubbleSize val="0"/>
        </c:dLbls>
        <c:gapWidth val="182"/>
        <c:axId val="498434543"/>
        <c:axId val="498433583"/>
      </c:barChart>
      <c:catAx>
        <c:axId val="49843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8433583"/>
        <c:crosses val="autoZero"/>
        <c:auto val="1"/>
        <c:lblAlgn val="ctr"/>
        <c:lblOffset val="100"/>
        <c:noMultiLvlLbl val="0"/>
      </c:catAx>
      <c:valAx>
        <c:axId val="498433583"/>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843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Delay Reasons Breakdown</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Dashboard!$B$27:$B$33</c:f>
              <c:strCache>
                <c:ptCount val="7"/>
                <c:pt idx="0">
                  <c:v>None (On Time)</c:v>
                </c:pt>
                <c:pt idx="1">
                  <c:v>Parts on Backorder</c:v>
                </c:pt>
                <c:pt idx="2">
                  <c:v>Garage Capacity / Ramp Delay</c:v>
                </c:pt>
                <c:pt idx="3">
                  <c:v>Incorrect Job Scoping</c:v>
                </c:pt>
                <c:pt idx="4">
                  <c:v>Awaiting Client Authorization</c:v>
                </c:pt>
                <c:pt idx="5">
                  <c:v>Recovery Delivery Failure</c:v>
                </c:pt>
                <c:pt idx="6">
                  <c:v>Unknown / Insufficient Data</c:v>
                </c:pt>
              </c:strCache>
            </c:strRef>
          </c:cat>
          <c:val>
            <c:numRef>
              <c:f>Dashboard!$C$27:$C$33</c:f>
              <c:numCache>
                <c:formatCode>General</c:formatCode>
                <c:ptCount val="7"/>
                <c:pt idx="0">
                  <c:v>38</c:v>
                </c:pt>
                <c:pt idx="1">
                  <c:v>15</c:v>
                </c:pt>
                <c:pt idx="2">
                  <c:v>12</c:v>
                </c:pt>
                <c:pt idx="3">
                  <c:v>10</c:v>
                </c:pt>
                <c:pt idx="4">
                  <c:v>14</c:v>
                </c:pt>
                <c:pt idx="5">
                  <c:v>0</c:v>
                </c:pt>
                <c:pt idx="6">
                  <c:v>11</c:v>
                </c:pt>
              </c:numCache>
            </c:numRef>
          </c:val>
          <c:extLst>
            <c:ext xmlns:c16="http://schemas.microsoft.com/office/drawing/2014/chart" uri="{C3380CC4-5D6E-409C-BE32-E72D297353CC}">
              <c16:uniqueId val="{00000000-B02C-4610-97C7-7DB3444E1FD4}"/>
            </c:ext>
          </c:extLst>
        </c:ser>
        <c:dLbls>
          <c:showLegendKey val="0"/>
          <c:showVal val="0"/>
          <c:showCatName val="0"/>
          <c:showSerName val="0"/>
          <c:showPercent val="0"/>
          <c:showBubbleSize val="0"/>
        </c:dLbls>
        <c:gapWidth val="219"/>
        <c:overlap val="-27"/>
        <c:axId val="1519709727"/>
        <c:axId val="499370175"/>
      </c:barChart>
      <c:catAx>
        <c:axId val="15197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9370175"/>
        <c:crosses val="autoZero"/>
        <c:auto val="1"/>
        <c:lblAlgn val="ctr"/>
        <c:lblOffset val="100"/>
        <c:noMultiLvlLbl val="0"/>
      </c:catAx>
      <c:valAx>
        <c:axId val="4993701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9709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11</xdr:row>
      <xdr:rowOff>1</xdr:rowOff>
    </xdr:from>
    <xdr:to>
      <xdr:col>5</xdr:col>
      <xdr:colOff>0</xdr:colOff>
      <xdr:row>24</xdr:row>
      <xdr:rowOff>1</xdr:rowOff>
    </xdr:to>
    <xdr:graphicFrame macro="">
      <xdr:nvGraphicFramePr>
        <xdr:cNvPr id="2" name="Chart 1">
          <a:extLst>
            <a:ext uri="{FF2B5EF4-FFF2-40B4-BE49-F238E27FC236}">
              <a16:creationId xmlns:a16="http://schemas.microsoft.com/office/drawing/2014/main" id="{83CF577B-0778-4667-1D5A-C89751C043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11</xdr:row>
      <xdr:rowOff>1</xdr:rowOff>
    </xdr:from>
    <xdr:to>
      <xdr:col>11</xdr:col>
      <xdr:colOff>0</xdr:colOff>
      <xdr:row>24</xdr:row>
      <xdr:rowOff>1</xdr:rowOff>
    </xdr:to>
    <xdr:graphicFrame macro="">
      <xdr:nvGraphicFramePr>
        <xdr:cNvPr id="3" name="Chart 2">
          <a:extLst>
            <a:ext uri="{FF2B5EF4-FFF2-40B4-BE49-F238E27FC236}">
              <a16:creationId xmlns:a16="http://schemas.microsoft.com/office/drawing/2014/main" id="{DCE31480-1608-CCD7-B9CD-4D457A42C5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34</xdr:row>
      <xdr:rowOff>1</xdr:rowOff>
    </xdr:from>
    <xdr:to>
      <xdr:col>7</xdr:col>
      <xdr:colOff>0</xdr:colOff>
      <xdr:row>47</xdr:row>
      <xdr:rowOff>1</xdr:rowOff>
    </xdr:to>
    <xdr:graphicFrame macro="">
      <xdr:nvGraphicFramePr>
        <xdr:cNvPr id="4" name="Chart 3">
          <a:extLst>
            <a:ext uri="{FF2B5EF4-FFF2-40B4-BE49-F238E27FC236}">
              <a16:creationId xmlns:a16="http://schemas.microsoft.com/office/drawing/2014/main" id="{7D9EF131-D505-AFBA-3F84-23E4A9D288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533400</xdr:colOff>
      <xdr:row>10</xdr:row>
      <xdr:rowOff>38100</xdr:rowOff>
    </xdr:from>
    <xdr:to>
      <xdr:col>8</xdr:col>
      <xdr:colOff>361950</xdr:colOff>
      <xdr:row>16</xdr:row>
      <xdr:rowOff>9525</xdr:rowOff>
    </xdr:to>
    <mc:AlternateContent xmlns:mc="http://schemas.openxmlformats.org/markup-compatibility/2006" xmlns:a14="http://schemas.microsoft.com/office/drawing/2010/main">
      <mc:Choice Requires="a14">
        <xdr:graphicFrame macro="">
          <xdr:nvGraphicFramePr>
            <xdr:cNvPr id="2" name="Vehicle_Type">
              <a:extLst>
                <a:ext uri="{FF2B5EF4-FFF2-40B4-BE49-F238E27FC236}">
                  <a16:creationId xmlns:a16="http://schemas.microsoft.com/office/drawing/2014/main" id="{C53CC753-CC2E-451B-A15B-FA1AD4B5633D}"/>
                </a:ext>
              </a:extLst>
            </xdr:cNvPr>
            <xdr:cNvGraphicFramePr/>
          </xdr:nvGraphicFramePr>
          <xdr:xfrm>
            <a:off x="0" y="0"/>
            <a:ext cx="0" cy="0"/>
          </xdr:xfrm>
          <a:graphic>
            <a:graphicData uri="http://schemas.microsoft.com/office/drawing/2010/slicer">
              <sle:slicer xmlns:sle="http://schemas.microsoft.com/office/drawing/2010/slicer" name="Vehicle_Type"/>
            </a:graphicData>
          </a:graphic>
        </xdr:graphicFrame>
      </mc:Choice>
      <mc:Fallback xmlns="">
        <xdr:sp macro="" textlink="">
          <xdr:nvSpPr>
            <xdr:cNvPr id="0" name=""/>
            <xdr:cNvSpPr>
              <a:spLocks noTextEdit="1"/>
            </xdr:cNvSpPr>
          </xdr:nvSpPr>
          <xdr:spPr>
            <a:xfrm>
              <a:off x="8429625" y="1933575"/>
              <a:ext cx="1828800" cy="10572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542925</xdr:colOff>
      <xdr:row>3</xdr:row>
      <xdr:rowOff>133351</xdr:rowOff>
    </xdr:from>
    <xdr:to>
      <xdr:col>8</xdr:col>
      <xdr:colOff>371475</xdr:colOff>
      <xdr:row>9</xdr:row>
      <xdr:rowOff>66676</xdr:rowOff>
    </xdr:to>
    <mc:AlternateContent xmlns:mc="http://schemas.openxmlformats.org/markup-compatibility/2006" xmlns:a14="http://schemas.microsoft.com/office/drawing/2010/main">
      <mc:Choice Requires="a14">
        <xdr:graphicFrame macro="">
          <xdr:nvGraphicFramePr>
            <xdr:cNvPr id="3" name="VOR_SLA_Breached?">
              <a:extLst>
                <a:ext uri="{FF2B5EF4-FFF2-40B4-BE49-F238E27FC236}">
                  <a16:creationId xmlns:a16="http://schemas.microsoft.com/office/drawing/2014/main" id="{255E223B-4844-D1DB-C030-D2736EEEB080}"/>
                </a:ext>
              </a:extLst>
            </xdr:cNvPr>
            <xdr:cNvGraphicFramePr/>
          </xdr:nvGraphicFramePr>
          <xdr:xfrm>
            <a:off x="0" y="0"/>
            <a:ext cx="0" cy="0"/>
          </xdr:xfrm>
          <a:graphic>
            <a:graphicData uri="http://schemas.microsoft.com/office/drawing/2010/slicer">
              <sle:slicer xmlns:sle="http://schemas.microsoft.com/office/drawing/2010/slicer" name="VOR_SLA_Breached?"/>
            </a:graphicData>
          </a:graphic>
        </xdr:graphicFrame>
      </mc:Choice>
      <mc:Fallback xmlns="">
        <xdr:sp macro="" textlink="">
          <xdr:nvSpPr>
            <xdr:cNvPr id="0" name=""/>
            <xdr:cNvSpPr>
              <a:spLocks noTextEdit="1"/>
            </xdr:cNvSpPr>
          </xdr:nvSpPr>
          <xdr:spPr>
            <a:xfrm>
              <a:off x="8439150" y="752476"/>
              <a:ext cx="1828800" cy="10287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38100</xdr:colOff>
      <xdr:row>3</xdr:row>
      <xdr:rowOff>123825</xdr:rowOff>
    </xdr:from>
    <xdr:to>
      <xdr:col>11</xdr:col>
      <xdr:colOff>495300</xdr:colOff>
      <xdr:row>17</xdr:row>
      <xdr:rowOff>104775</xdr:rowOff>
    </xdr:to>
    <mc:AlternateContent xmlns:mc="http://schemas.openxmlformats.org/markup-compatibility/2006" xmlns:a14="http://schemas.microsoft.com/office/drawing/2010/main">
      <mc:Choice Requires="a14">
        <xdr:graphicFrame macro="">
          <xdr:nvGraphicFramePr>
            <xdr:cNvPr id="4" name="Garage_Name">
              <a:extLst>
                <a:ext uri="{FF2B5EF4-FFF2-40B4-BE49-F238E27FC236}">
                  <a16:creationId xmlns:a16="http://schemas.microsoft.com/office/drawing/2014/main" id="{DDAC0B15-E534-727D-8118-3FEC8F44B14B}"/>
                </a:ext>
              </a:extLst>
            </xdr:cNvPr>
            <xdr:cNvGraphicFramePr/>
          </xdr:nvGraphicFramePr>
          <xdr:xfrm>
            <a:off x="0" y="0"/>
            <a:ext cx="0" cy="0"/>
          </xdr:xfrm>
          <a:graphic>
            <a:graphicData uri="http://schemas.microsoft.com/office/drawing/2010/slicer">
              <sle:slicer xmlns:sle="http://schemas.microsoft.com/office/drawing/2010/slicer" name="Garage_Name"/>
            </a:graphicData>
          </a:graphic>
        </xdr:graphicFrame>
      </mc:Choice>
      <mc:Fallback xmlns="">
        <xdr:sp macro="" textlink="">
          <xdr:nvSpPr>
            <xdr:cNvPr id="0" name=""/>
            <xdr:cNvSpPr>
              <a:spLocks noTextEdit="1"/>
            </xdr:cNvSpPr>
          </xdr:nvSpPr>
          <xdr:spPr>
            <a:xfrm>
              <a:off x="10591800" y="742950"/>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ntol Ormsby" refreshedDate="46174.951839351852" createdVersion="8" refreshedVersion="8" minRefreshableVersion="3" recordCount="100" xr:uid="{5A812DBA-F8E6-4397-B0E4-16A90DF60E4E}">
  <cacheSource type="worksheet">
    <worksheetSource ref="A1:Q101" sheet="Cleaned_Data"/>
  </cacheSource>
  <cacheFields count="20">
    <cacheField name="Vehicle_ID" numFmtId="49">
      <sharedItems/>
    </cacheField>
    <cacheField name="Vehicle_Type" numFmtId="49">
      <sharedItems count="2">
        <s v="Specialised"/>
        <s v="Standard"/>
      </sharedItems>
    </cacheField>
    <cacheField name="Make_Model" numFmtId="49">
      <sharedItems count="6">
        <s v="Ford Transit"/>
        <s v="Vauxhall Vivaro"/>
        <s v="Mercedes Atego"/>
        <s v="Iveco Daily"/>
        <s v="Vauxhall Movano"/>
        <s v="Renault Sprinter"/>
      </sharedItems>
    </cacheField>
    <cacheField name="Defect_Reported_DateTime" numFmtId="164">
      <sharedItems containsSemiMixedTypes="0" containsNonDate="0" containsDate="1" containsString="0" minDate="2026-01-04T08:45:00" maxDate="2026-04-30T09:15:00"/>
    </cacheField>
    <cacheField name="Garage_Booked_DateTime" numFmtId="164">
      <sharedItems containsSemiMixedTypes="0" containsNonDate="0" containsDate="1" containsString="0" minDate="2026-01-05T18:51:00" maxDate="2026-05-02T12:03:00"/>
    </cacheField>
    <cacheField name="Garage_In_Date" numFmtId="164">
      <sharedItems containsSemiMixedTypes="0" containsNonDate="0" containsDate="1" containsString="0" minDate="2026-01-05T18:51:00" maxDate="2026-05-04T12:03:00"/>
    </cacheField>
    <cacheField name="Garage_Out_Date" numFmtId="164">
      <sharedItems containsSemiMixedTypes="0" containsNonDate="0" containsDate="1" containsString="0" minDate="2026-01-08T06:51:00" maxDate="2026-05-12T21:39:00"/>
    </cacheField>
    <cacheField name="Actual_Repair_Start_Date" numFmtId="164">
      <sharedItems containsNonDate="0" containsDate="1" containsString="0" containsBlank="1" minDate="2026-01-06T11:15:00" maxDate="2026-05-04T12:03:00"/>
    </cacheField>
    <cacheField name="Estimated_Completion_Date" numFmtId="164">
      <sharedItems containsNonDate="0" containsDate="1" containsString="0" containsBlank="1" minDate="2026-01-07T00:00:00" maxDate="2026-05-12T00:00:00"/>
    </cacheField>
    <cacheField name="Primary_Delay_Reason" numFmtId="14">
      <sharedItems count="6">
        <s v="None (On Time)"/>
        <s v="Unknown / Insufficient Data"/>
        <s v="Garage Capacity / Ramp Delay"/>
        <s v="Incorrect Job Scoping"/>
        <s v="Awaiting Client Authorization"/>
        <s v="Parts on Backorder"/>
      </sharedItems>
    </cacheField>
    <cacheField name="Garage_Name" numFmtId="49">
      <sharedItems count="10">
        <s v="Joey Special Auto Centre"/>
        <s v="Geller Repair Shop"/>
        <s v="Central Perk Repairs"/>
        <s v="15 Yemen Rd Garage"/>
        <s v="Princess Consuela Auto Centre"/>
        <s v="PIVOT Garage Repairs"/>
        <s v="Dr Drake Ramoray Autos"/>
        <s v="Mississippilessly Repairs"/>
        <s v="Miss Chanandler Bong Garage"/>
        <s v="Rachel Greep Workshop"/>
      </sharedItems>
    </cacheField>
    <cacheField name="Hours_To_Book" numFmtId="2">
      <sharedItems containsSemiMixedTypes="0" containsString="0" containsNumber="1" minValue="7.9999999995343387" maxValue="107.20000000001164"/>
    </cacheField>
    <cacheField name="Booking_SLA_Breached?" numFmtId="2">
      <sharedItems/>
    </cacheField>
    <cacheField name="Total_VOR_Days" numFmtId="0">
      <sharedItems containsSemiMixedTypes="0" containsString="0" containsNumber="1" minValue="0.5" maxValue="10.099999999983993"/>
    </cacheField>
    <cacheField name="VOR_SLA_Breached?" numFmtId="0">
      <sharedItems count="2">
        <s v="No"/>
        <s v="Yes"/>
      </sharedItems>
    </cacheField>
    <cacheField name="Specialist_Priority_Effectiveness" numFmtId="0">
      <sharedItems/>
    </cacheField>
    <cacheField name="Hours_To_Start_Repair" numFmtId="0">
      <sharedItems containsMixedTypes="1" containsNumber="1" minValue="-0.64999999984866008" maxValue="75.049999999813735"/>
    </cacheField>
    <cacheField name="Column1" numFmtId="0">
      <sharedItems containsSemiMixedTypes="0" containsString="0" containsNumber="1" containsInteger="1" minValue="0" maxValue="36"/>
    </cacheField>
    <cacheField name="Column2" numFmtId="0">
      <sharedItems containsSemiMixedTypes="0" containsString="0" containsNumber="1" containsInteger="1" minValue="1" maxValue="100"/>
    </cacheField>
    <cacheField name="Column3" numFmtId="166">
      <sharedItems containsSemiMixedTypes="0" containsString="0" containsNumber="1" minValue="0" maxValue="0.45714285714285713"/>
    </cacheField>
  </cacheFields>
  <extLst>
    <ext xmlns:x14="http://schemas.microsoft.com/office/spreadsheetml/2009/9/main" uri="{725AE2AE-9491-48be-B2B4-4EB974FC3084}">
      <x14:pivotCacheDefinition pivotCacheId="38079104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VH1000"/>
    <x v="0"/>
    <x v="0"/>
    <d v="2026-01-13T13:30:00"/>
    <d v="2026-01-14T06:12:00"/>
    <d v="2026-01-16T06:12:00"/>
    <d v="2026-01-18T06:12:00"/>
    <d v="2026-01-16T08:30:00"/>
    <d v="2026-01-17T00:00:00"/>
    <x v="0"/>
    <x v="0"/>
    <n v="16.699999999953434"/>
    <s v="No"/>
    <n v="2"/>
    <x v="0"/>
    <s v="Effective"/>
    <n v="2.2999999998137355"/>
    <n v="36"/>
    <n v="100"/>
    <n v="0.36"/>
  </r>
  <r>
    <s v="VH1001"/>
    <x v="1"/>
    <x v="1"/>
    <d v="2026-03-21T13:15:00"/>
    <d v="2026-03-23T18:21:00"/>
    <d v="2026-03-23T22:21:00"/>
    <d v="2026-03-27T12:45:00"/>
    <d v="2026-03-24T02:21:00"/>
    <d v="2026-03-27T00:00:00"/>
    <x v="1"/>
    <x v="1"/>
    <n v="53.099999999685679"/>
    <s v="Not Applicable"/>
    <n v="3.5999999999985448"/>
    <x v="1"/>
    <s v="Not Applicable"/>
    <n v="4.0000000001164153"/>
    <n v="35"/>
    <n v="99"/>
    <n v="0.35353535353535354"/>
  </r>
  <r>
    <s v="VH1002"/>
    <x v="1"/>
    <x v="2"/>
    <d v="2026-02-28T13:15:00"/>
    <d v="2026-03-02T09:57:00"/>
    <d v="2026-03-02T17:57:00"/>
    <d v="2026-03-07T22:45:00"/>
    <d v="2026-03-02T21:57:00"/>
    <d v="2026-03-06T00:00:00"/>
    <x v="2"/>
    <x v="2"/>
    <n v="44.699999999720603"/>
    <s v="Not Applicable"/>
    <n v="5.1999999999898137"/>
    <x v="1"/>
    <s v="Not Applicable"/>
    <n v="3.9999999999417923"/>
    <n v="35"/>
    <n v="98"/>
    <n v="0.35714285714285715"/>
  </r>
  <r>
    <s v="VH1003"/>
    <x v="0"/>
    <x v="3"/>
    <d v="2026-03-01T14:30:00"/>
    <d v="2026-03-03T07:36:00"/>
    <d v="2026-03-04T19:36:00"/>
    <d v="2026-03-08T19:36:00"/>
    <d v="2026-03-04T23:36:00"/>
    <d v="2026-03-07T00:00:00"/>
    <x v="3"/>
    <x v="3"/>
    <n v="41.100000000384171"/>
    <s v="No"/>
    <n v="4"/>
    <x v="1"/>
    <s v="Ineffective"/>
    <n v="3.9999999997671694"/>
    <n v="35"/>
    <n v="97"/>
    <n v="0.36082474226804123"/>
  </r>
  <r>
    <s v="VH1004"/>
    <x v="0"/>
    <x v="3"/>
    <d v="2026-01-09T11:30:00"/>
    <d v="2026-01-10T18:48:00"/>
    <d v="2026-01-12T18:48:00"/>
    <d v="2026-01-19T06:48:00"/>
    <d v="2026-01-13T08:30:00"/>
    <d v="2026-01-17T00:00:00"/>
    <x v="4"/>
    <x v="0"/>
    <n v="31.300000000221189"/>
    <s v="No"/>
    <n v="6.5"/>
    <x v="1"/>
    <s v="Ineffective"/>
    <n v="13.699999999778811"/>
    <n v="35"/>
    <n v="96"/>
    <n v="0.36458333333333331"/>
  </r>
  <r>
    <s v="VH1005"/>
    <x v="1"/>
    <x v="1"/>
    <d v="2026-03-16T14:45:00"/>
    <d v="2026-03-16T22:45:00"/>
    <d v="2026-03-17T02:45:00"/>
    <d v="2026-03-26T12:21:00"/>
    <d v="2026-03-17T02:45:00"/>
    <d v="2026-03-25T00:00:00"/>
    <x v="5"/>
    <x v="4"/>
    <n v="7.9999999995343387"/>
    <s v="Not Applicable"/>
    <n v="9.3999999999869033"/>
    <x v="1"/>
    <s v="Not Applicable"/>
    <n v="0"/>
    <n v="35"/>
    <n v="95"/>
    <n v="0.36842105263157893"/>
  </r>
  <r>
    <s v="VH1006"/>
    <x v="1"/>
    <x v="1"/>
    <d v="2026-02-24T17:00:00"/>
    <d v="2026-02-26T01:48:00"/>
    <d v="2026-02-27T01:48:00"/>
    <d v="2026-03-05T01:48:00"/>
    <d v="2026-02-27T09:30:00"/>
    <d v="2026-03-04T00:00:00"/>
    <x v="3"/>
    <x v="5"/>
    <n v="32.79999999969732"/>
    <s v="Not Applicable"/>
    <n v="6"/>
    <x v="1"/>
    <s v="Not Applicable"/>
    <n v="7.7000000003026798"/>
    <n v="35"/>
    <n v="94"/>
    <n v="0.37234042553191488"/>
  </r>
  <r>
    <s v="VH1007"/>
    <x v="1"/>
    <x v="1"/>
    <d v="2026-04-24T16:30:00"/>
    <d v="2026-04-27T01:48:00"/>
    <d v="2026-04-27T09:48:00"/>
    <d v="2026-04-29T19:24:00"/>
    <d v="2026-04-27T09:48:00"/>
    <d v="2026-04-28T00:00:00"/>
    <x v="0"/>
    <x v="0"/>
    <n v="57.299999999930151"/>
    <s v="Not Applicable"/>
    <n v="2.3999999999941792"/>
    <x v="0"/>
    <s v="Not Applicable"/>
    <n v="0"/>
    <n v="35"/>
    <n v="93"/>
    <n v="0.37634408602150538"/>
  </r>
  <r>
    <s v="VH1008"/>
    <x v="1"/>
    <x v="4"/>
    <d v="2026-04-08T10:00:00"/>
    <d v="2026-04-11T05:42:00"/>
    <d v="2026-04-13T05:42:00"/>
    <d v="2026-04-16T05:42:00"/>
    <d v="2026-04-13T09:42:00"/>
    <d v="2026-04-16T00:00:00"/>
    <x v="0"/>
    <x v="2"/>
    <n v="67.70000000030268"/>
    <s v="Not Applicable"/>
    <n v="3"/>
    <x v="0"/>
    <s v="Not Applicable"/>
    <n v="3.9999999999417923"/>
    <n v="34"/>
    <n v="92"/>
    <n v="0.36956521739130432"/>
  </r>
  <r>
    <s v="VH1009"/>
    <x v="1"/>
    <x v="0"/>
    <d v="2026-03-18T13:45:00"/>
    <d v="2026-03-22T22:57:00"/>
    <d v="2026-03-23T06:57:00"/>
    <d v="2026-03-28T02:09:00"/>
    <d v="2026-03-26T10:00:00"/>
    <d v="2026-03-29T00:00:00"/>
    <x v="2"/>
    <x v="6"/>
    <n v="105.20000000030268"/>
    <s v="Not Applicable"/>
    <n v="4.7999999999956344"/>
    <x v="1"/>
    <s v="Not Applicable"/>
    <n v="75.049999999813735"/>
    <n v="33"/>
    <n v="91"/>
    <n v="0.36263736263736263"/>
  </r>
  <r>
    <s v="VH1010"/>
    <x v="1"/>
    <x v="0"/>
    <d v="2026-04-08T16:15:00"/>
    <d v="2026-04-11T16:33:00"/>
    <d v="2026-04-13T04:33:00"/>
    <d v="2026-04-18T23:45:00"/>
    <d v="2026-04-13T09:15:00"/>
    <d v="2026-04-18T00:00:00"/>
    <x v="5"/>
    <x v="2"/>
    <n v="72.299999999755528"/>
    <s v="Not Applicable"/>
    <n v="5.8000000000101863"/>
    <x v="1"/>
    <s v="Not Applicable"/>
    <n v="4.6999999997788109"/>
    <n v="33"/>
    <n v="90"/>
    <n v="0.36666666666666664"/>
  </r>
  <r>
    <s v="VH1011"/>
    <x v="0"/>
    <x v="2"/>
    <d v="2026-04-02T12:45:00"/>
    <d v="2026-04-04T06:03:00"/>
    <d v="2026-04-05T06:03:00"/>
    <d v="2026-04-09T08:27:00"/>
    <d v="2026-04-05T06:03:00"/>
    <d v="2026-04-07T00:00:00"/>
    <x v="5"/>
    <x v="3"/>
    <n v="41.299999999988358"/>
    <s v="No"/>
    <n v="4.0999999999985448"/>
    <x v="1"/>
    <s v="Ineffective"/>
    <n v="0"/>
    <n v="33"/>
    <n v="89"/>
    <n v="0.3707865168539326"/>
  </r>
  <r>
    <s v="VH1012"/>
    <x v="1"/>
    <x v="4"/>
    <d v="2026-03-12T11:15:00"/>
    <d v="2026-03-16T04:45:00"/>
    <d v="2026-03-16T04:45:00"/>
    <d v="2026-03-20T11:57:00"/>
    <d v="2026-03-16T08:45:00"/>
    <d v="2026-03-19T00:00:00"/>
    <x v="2"/>
    <x v="7"/>
    <n v="89.499999999767169"/>
    <s v="Not Applicable"/>
    <n v="4.3000000000101863"/>
    <x v="1"/>
    <s v="Not Applicable"/>
    <n v="4.0000000004656613"/>
    <n v="33"/>
    <n v="88"/>
    <n v="0.375"/>
  </r>
  <r>
    <s v="VH1013"/>
    <x v="0"/>
    <x v="2"/>
    <d v="2026-01-28T16:15:00"/>
    <d v="2026-01-29T18:21:00"/>
    <d v="2026-01-31T06:21:00"/>
    <d v="2026-01-31T18:21:00"/>
    <d v="2026-01-31T06:21:00"/>
    <d v="2026-01-31T00:00:00"/>
    <x v="0"/>
    <x v="5"/>
    <n v="26.099999999685679"/>
    <s v="No"/>
    <n v="0.5"/>
    <x v="0"/>
    <s v="Effective"/>
    <n v="0"/>
    <n v="33"/>
    <n v="87"/>
    <n v="0.37931034482758619"/>
  </r>
  <r>
    <s v="VH1014"/>
    <x v="0"/>
    <x v="3"/>
    <d v="2026-02-24T14:45:00"/>
    <d v="2026-02-25T21:39:00"/>
    <d v="2026-02-27T21:39:00"/>
    <d v="2026-03-03T14:27:00"/>
    <d v="2026-02-27T21:39:00"/>
    <d v="2026-03-01T00:00:00"/>
    <x v="5"/>
    <x v="5"/>
    <n v="30.899999999615829"/>
    <s v="No"/>
    <n v="3.7000000000043656"/>
    <x v="1"/>
    <s v="Ineffective"/>
    <n v="0"/>
    <n v="32"/>
    <n v="86"/>
    <n v="0.37209302325581395"/>
  </r>
  <r>
    <s v="VH1015"/>
    <x v="1"/>
    <x v="3"/>
    <d v="2026-01-25T11:45:00"/>
    <d v="2026-01-28T03:39:00"/>
    <d v="2026-01-29T03:39:00"/>
    <d v="2026-02-03T08:27:00"/>
    <d v="2026-01-29T07:39:00"/>
    <d v="2026-02-03T00:00:00"/>
    <x v="2"/>
    <x v="2"/>
    <n v="63.899999999615829"/>
    <s v="Not Applicable"/>
    <n v="5.2000000000043656"/>
    <x v="1"/>
    <s v="Not Applicable"/>
    <n v="4.0000000001164153"/>
    <n v="32"/>
    <n v="85"/>
    <n v="0.37647058823529411"/>
  </r>
  <r>
    <s v="VH1016"/>
    <x v="1"/>
    <x v="0"/>
    <d v="2026-01-07T16:00:00"/>
    <d v="2026-01-12T00:18:00"/>
    <d v="2026-01-12T04:18:00"/>
    <d v="2026-01-15T11:30:00"/>
    <d v="2026-01-14T08:30:00"/>
    <d v="2026-01-13T00:00:00"/>
    <x v="0"/>
    <x v="3"/>
    <n v="104.30000000016298"/>
    <s v="Not Applicable"/>
    <n v="3.2999999999883585"/>
    <x v="0"/>
    <s v="Not Applicable"/>
    <n v="52.199999999720603"/>
    <n v="32"/>
    <n v="84"/>
    <n v="0.38095238095238093"/>
  </r>
  <r>
    <s v="VH1017"/>
    <x v="0"/>
    <x v="3"/>
    <d v="2026-02-19T12:45:00"/>
    <d v="2026-02-20T14:51:00"/>
    <d v="2026-02-22T14:51:00"/>
    <d v="2026-03-01T19:39:00"/>
    <m/>
    <m/>
    <x v="1"/>
    <x v="0"/>
    <n v="26.100000000034925"/>
    <s v="No"/>
    <n v="7.1999999999970896"/>
    <x v="1"/>
    <s v="Ineffective"/>
    <s v="N/A"/>
    <n v="31"/>
    <n v="83"/>
    <n v="0.37349397590361444"/>
  </r>
  <r>
    <s v="VH1018"/>
    <x v="1"/>
    <x v="3"/>
    <d v="2026-01-08T17:00:00"/>
    <d v="2026-01-10T23:54:00"/>
    <d v="2026-01-12T11:54:00"/>
    <d v="2026-01-15T23:54:00"/>
    <d v="2026-01-14T10:30:00"/>
    <d v="2026-01-14T00:00:00"/>
    <x v="0"/>
    <x v="2"/>
    <n v="54.899999999615829"/>
    <s v="Not Applicable"/>
    <n v="3.5"/>
    <x v="0"/>
    <s v="Not Applicable"/>
    <n v="46.60000000015134"/>
    <n v="31"/>
    <n v="82"/>
    <n v="0.37804878048780488"/>
  </r>
  <r>
    <s v="VH1019"/>
    <x v="0"/>
    <x v="4"/>
    <d v="2026-01-09T17:00:00"/>
    <d v="2026-01-10T19:12:00"/>
    <d v="2026-01-10T19:12:00"/>
    <d v="2026-01-13T16:48:00"/>
    <d v="2026-01-11T04:00:00"/>
    <d v="2026-01-12T00:00:00"/>
    <x v="0"/>
    <x v="5"/>
    <n v="26.199999999837019"/>
    <s v="No"/>
    <n v="2.8999999999941792"/>
    <x v="0"/>
    <s v="Effective"/>
    <n v="8.7999999996973202"/>
    <n v="31"/>
    <n v="81"/>
    <n v="0.38271604938271603"/>
  </r>
  <r>
    <s v="VH1020"/>
    <x v="0"/>
    <x v="2"/>
    <d v="2026-03-14T16:30:00"/>
    <d v="2026-03-16T02:48:00"/>
    <d v="2026-03-18T02:48:00"/>
    <d v="2026-03-21T19:36:00"/>
    <d v="2026-03-19T10:30:00"/>
    <d v="2026-03-20T00:00:00"/>
    <x v="2"/>
    <x v="6"/>
    <n v="34.300000000046566"/>
    <s v="No"/>
    <n v="3.7000000000043656"/>
    <x v="1"/>
    <s v="Ineffective"/>
    <n v="31.699999999953434"/>
    <n v="30"/>
    <n v="80"/>
    <n v="0.375"/>
  </r>
  <r>
    <s v="VH1021"/>
    <x v="1"/>
    <x v="2"/>
    <d v="2026-04-29T09:00:00"/>
    <d v="2026-04-29T17:00:00"/>
    <d v="2026-04-29T17:00:00"/>
    <d v="2026-05-09T19:24:00"/>
    <d v="2026-04-30T09:00:00"/>
    <d v="2026-05-09T00:00:00"/>
    <x v="3"/>
    <x v="7"/>
    <n v="8.0000000002328306"/>
    <s v="Not Applicable"/>
    <n v="10.099999999983993"/>
    <x v="1"/>
    <s v="Not Applicable"/>
    <n v="15.999999999767169"/>
    <n v="30"/>
    <n v="79"/>
    <n v="0.379746835443038"/>
  </r>
  <r>
    <s v="VH1022"/>
    <x v="1"/>
    <x v="2"/>
    <d v="2026-02-06T10:45:00"/>
    <d v="2026-02-09T10:57:00"/>
    <d v="2026-02-10T22:57:00"/>
    <d v="2026-02-12T10:57:00"/>
    <d v="2026-02-11T08:30:00"/>
    <d v="2026-02-11T00:00:00"/>
    <x v="0"/>
    <x v="2"/>
    <n v="72.20000000030268"/>
    <s v="Not Applicable"/>
    <n v="1.5"/>
    <x v="0"/>
    <s v="Not Applicable"/>
    <n v="9.5499999996973202"/>
    <n v="30"/>
    <n v="78"/>
    <n v="0.38461538461538464"/>
  </r>
  <r>
    <s v="VH1023"/>
    <x v="1"/>
    <x v="2"/>
    <d v="2026-04-30T09:15:00"/>
    <d v="2026-05-02T12:03:00"/>
    <d v="2026-05-04T12:03:00"/>
    <d v="2026-05-12T21:39:00"/>
    <d v="2026-05-04T12:03:00"/>
    <d v="2026-05-11T00:00:00"/>
    <x v="1"/>
    <x v="7"/>
    <n v="50.800000000221189"/>
    <s v="Not Applicable"/>
    <n v="8.3999999999941792"/>
    <x v="1"/>
    <s v="Not Applicable"/>
    <n v="0"/>
    <n v="29"/>
    <n v="77"/>
    <n v="0.37662337662337664"/>
  </r>
  <r>
    <s v="VH1024"/>
    <x v="1"/>
    <x v="1"/>
    <d v="2026-03-23T12:45:00"/>
    <d v="2026-03-25T19:27:00"/>
    <d v="2026-03-25T19:27:00"/>
    <d v="2026-04-03T09:51:00"/>
    <d v="2026-03-25T23:27:00"/>
    <d v="2026-04-02T00:00:00"/>
    <x v="5"/>
    <x v="4"/>
    <n v="54.700000000011642"/>
    <s v="Not Applicable"/>
    <n v="8.6000000000058208"/>
    <x v="1"/>
    <s v="Not Applicable"/>
    <n v="3.9999999999417923"/>
    <n v="29"/>
    <n v="76"/>
    <n v="0.38157894736842107"/>
  </r>
  <r>
    <s v="VH1025"/>
    <x v="0"/>
    <x v="1"/>
    <d v="2026-01-21T15:45:00"/>
    <d v="2026-01-22T16:57:00"/>
    <d v="2026-01-24T16:57:00"/>
    <d v="2026-01-28T12:09:00"/>
    <d v="2026-01-24T16:57:00"/>
    <d v="2026-01-26T00:00:00"/>
    <x v="2"/>
    <x v="4"/>
    <n v="25.200000000069849"/>
    <s v="No"/>
    <n v="3.7999999999956344"/>
    <x v="1"/>
    <s v="Ineffective"/>
    <n v="0"/>
    <n v="29"/>
    <n v="75"/>
    <n v="0.38666666666666666"/>
  </r>
  <r>
    <s v="VH1026"/>
    <x v="1"/>
    <x v="5"/>
    <d v="2026-01-17T08:30:00"/>
    <d v="2026-01-18T05:42:00"/>
    <d v="2026-01-18T05:42:00"/>
    <d v="2026-01-25T22:30:00"/>
    <d v="2026-01-19T09:00:00"/>
    <d v="2026-01-26T00:00:00"/>
    <x v="5"/>
    <x v="2"/>
    <n v="21.20000000030268"/>
    <s v="Not Applicable"/>
    <n v="7.6999999999970896"/>
    <x v="1"/>
    <s v="Not Applicable"/>
    <n v="27.299999999930151"/>
    <n v="29"/>
    <n v="74"/>
    <n v="0.39189189189189189"/>
  </r>
  <r>
    <s v="VH1027"/>
    <x v="0"/>
    <x v="1"/>
    <d v="2026-04-06T10:15:00"/>
    <d v="2026-04-08T06:33:00"/>
    <d v="2026-04-08T10:33:00"/>
    <d v="2026-04-08T22:33:00"/>
    <d v="2026-04-08T10:33:00"/>
    <d v="2026-04-09T00:00:00"/>
    <x v="0"/>
    <x v="1"/>
    <n v="44.299999999813735"/>
    <s v="No"/>
    <n v="0.5"/>
    <x v="0"/>
    <s v="Effective"/>
    <n v="0"/>
    <n v="29"/>
    <n v="73"/>
    <n v="0.39726027397260272"/>
  </r>
  <r>
    <s v="VH1028"/>
    <x v="0"/>
    <x v="4"/>
    <d v="2026-04-14T11:30:00"/>
    <d v="2026-04-15T23:36:00"/>
    <d v="2026-04-16T23:36:00"/>
    <d v="2026-04-23T18:48:00"/>
    <d v="2026-04-16T23:36:00"/>
    <d v="2026-04-21T00:00:00"/>
    <x v="3"/>
    <x v="6"/>
    <n v="36.10000000015134"/>
    <s v="No"/>
    <n v="6.8000000000029104"/>
    <x v="1"/>
    <s v="Ineffective"/>
    <n v="0"/>
    <n v="28"/>
    <n v="72"/>
    <n v="0.3888888888888889"/>
  </r>
  <r>
    <s v="VH1029"/>
    <x v="0"/>
    <x v="3"/>
    <d v="2026-04-12T11:15:00"/>
    <d v="2026-04-13T21:45:00"/>
    <d v="2026-04-14T05:45:00"/>
    <d v="2026-04-18T15:21:00"/>
    <d v="2026-04-14T11:30:00"/>
    <d v="2026-04-16T00:00:00"/>
    <x v="5"/>
    <x v="2"/>
    <n v="34.5"/>
    <s v="No"/>
    <n v="4.3999999999869033"/>
    <x v="1"/>
    <s v="Ineffective"/>
    <n v="5.7499999995343387"/>
    <n v="28"/>
    <n v="71"/>
    <n v="0.39436619718309857"/>
  </r>
  <r>
    <s v="VH1030"/>
    <x v="1"/>
    <x v="5"/>
    <d v="2026-03-28T16:30:00"/>
    <d v="2026-03-31T09:36:00"/>
    <d v="2026-03-31T17:36:00"/>
    <d v="2026-04-04T12:48:00"/>
    <d v="2026-03-31T21:36:00"/>
    <d v="2026-04-04T00:00:00"/>
    <x v="4"/>
    <x v="1"/>
    <n v="65.100000000034925"/>
    <s v="Not Applicable"/>
    <n v="3.8000000000029104"/>
    <x v="1"/>
    <s v="Not Applicable"/>
    <n v="4.0000000001164153"/>
    <n v="28"/>
    <n v="70"/>
    <n v="0.4"/>
  </r>
  <r>
    <s v="VH1031"/>
    <x v="0"/>
    <x v="5"/>
    <d v="2026-02-10T14:00:00"/>
    <d v="2026-02-12T18:30:00"/>
    <d v="2026-02-14T06:30:00"/>
    <d v="2026-02-18T16:06:00"/>
    <d v="2026-02-14T09:30:00"/>
    <d v="2026-02-17T00:00:00"/>
    <x v="4"/>
    <x v="7"/>
    <n v="52.5"/>
    <s v="Yes"/>
    <n v="4.3999999999869033"/>
    <x v="1"/>
    <s v="Effective"/>
    <n v="3"/>
    <n v="28"/>
    <n v="69"/>
    <n v="0.40579710144927539"/>
  </r>
  <r>
    <s v="VH1032"/>
    <x v="1"/>
    <x v="2"/>
    <d v="2026-02-25T09:30:00"/>
    <d v="2026-02-27T22:42:00"/>
    <d v="2026-03-01T10:42:00"/>
    <d v="2026-03-04T03:30:00"/>
    <d v="2026-03-01T10:42:00"/>
    <d v="2026-03-04T00:00:00"/>
    <x v="0"/>
    <x v="1"/>
    <n v="61.199999999720603"/>
    <s v="Not Applicable"/>
    <n v="2.7000000000116415"/>
    <x v="0"/>
    <s v="Not Applicable"/>
    <n v="0"/>
    <n v="28"/>
    <n v="68"/>
    <n v="0.41176470588235292"/>
  </r>
  <r>
    <s v="VH1033"/>
    <x v="1"/>
    <x v="1"/>
    <d v="2026-02-07T16:15:00"/>
    <d v="2026-02-11T14:33:00"/>
    <d v="2026-02-11T18:33:00"/>
    <d v="2026-02-12T06:33:00"/>
    <d v="2026-02-12T06:33:00"/>
    <d v="2026-02-12T00:00:00"/>
    <x v="0"/>
    <x v="2"/>
    <n v="94.29999999969732"/>
    <s v="Not Applicable"/>
    <n v="0.5"/>
    <x v="0"/>
    <s v="Not Applicable"/>
    <n v="12"/>
    <n v="27"/>
    <n v="67"/>
    <n v="0.40298507462686567"/>
  </r>
  <r>
    <s v="VH1034"/>
    <x v="1"/>
    <x v="0"/>
    <d v="2026-02-08T12:15:00"/>
    <d v="2026-02-11T20:15:00"/>
    <d v="2026-02-12T20:15:00"/>
    <d v="2026-02-17T15:27:00"/>
    <d v="2026-02-13T00:15:00"/>
    <d v="2026-02-15T00:00:00"/>
    <x v="4"/>
    <x v="4"/>
    <n v="80.000000000232831"/>
    <s v="Not Applicable"/>
    <n v="4.8000000000029104"/>
    <x v="1"/>
    <s v="Not Applicable"/>
    <n v="3.9999999997671694"/>
    <n v="26"/>
    <n v="66"/>
    <n v="0.39393939393939392"/>
  </r>
  <r>
    <s v="VH1035"/>
    <x v="0"/>
    <x v="0"/>
    <d v="2026-03-07T17:30:00"/>
    <d v="2026-03-08T11:12:00"/>
    <d v="2026-03-08T11:12:00"/>
    <d v="2026-03-14T01:36:00"/>
    <d v="2026-03-08T11:00:00"/>
    <d v="2026-03-13T00:00:00"/>
    <x v="3"/>
    <x v="7"/>
    <n v="17.700000000244472"/>
    <s v="No"/>
    <n v="5.6000000000058208"/>
    <x v="1"/>
    <s v="Ineffective"/>
    <n v="-0.19999999977881089"/>
    <n v="26"/>
    <n v="65"/>
    <n v="0.4"/>
  </r>
  <r>
    <s v="VH1036"/>
    <x v="1"/>
    <x v="5"/>
    <d v="2026-03-20T09:45:00"/>
    <d v="2026-03-21T07:21:00"/>
    <d v="2026-03-22T07:21:00"/>
    <d v="2026-03-28T12:09:00"/>
    <d v="2026-03-22T07:21:00"/>
    <d v="2026-03-27T00:00:00"/>
    <x v="5"/>
    <x v="3"/>
    <n v="21.600000000034925"/>
    <s v="Not Applicable"/>
    <n v="6.1999999999970896"/>
    <x v="1"/>
    <s v="Not Applicable"/>
    <n v="0"/>
    <n v="26"/>
    <n v="64"/>
    <n v="0.40625"/>
  </r>
  <r>
    <s v="VH1037"/>
    <x v="1"/>
    <x v="0"/>
    <d v="2026-04-10T14:15:00"/>
    <d v="2026-04-12T02:21:00"/>
    <d v="2026-04-12T06:21:00"/>
    <d v="2026-04-17T11:09:00"/>
    <d v="2026-04-14T08:30:00"/>
    <d v="2026-04-18T00:00:00"/>
    <x v="1"/>
    <x v="4"/>
    <n v="36.10000000015134"/>
    <s v="Not Applicable"/>
    <n v="5.1999999999970896"/>
    <x v="1"/>
    <s v="Not Applicable"/>
    <n v="50.14999999984866"/>
    <n v="26"/>
    <n v="63"/>
    <n v="0.41269841269841268"/>
  </r>
  <r>
    <s v="VH1038"/>
    <x v="1"/>
    <x v="5"/>
    <d v="2026-03-27T16:30:00"/>
    <d v="2026-03-28T15:30:00"/>
    <d v="2026-03-29T15:30:00"/>
    <d v="2026-03-31T10:42:00"/>
    <d v="2026-03-29T19:30:00"/>
    <d v="2026-03-30T00:00:00"/>
    <x v="0"/>
    <x v="6"/>
    <n v="23.000000000232831"/>
    <s v="Not Applicable"/>
    <n v="1.7999999999883585"/>
    <x v="0"/>
    <s v="Not Applicable"/>
    <n v="3.9999999997671694"/>
    <n v="26"/>
    <n v="62"/>
    <n v="0.41935483870967744"/>
  </r>
  <r>
    <s v="VH1039"/>
    <x v="1"/>
    <x v="5"/>
    <d v="2026-02-03T11:30:00"/>
    <d v="2026-02-04T19:42:00"/>
    <d v="2026-02-06T07:42:00"/>
    <d v="2026-02-09T00:30:00"/>
    <d v="2026-02-07T09:00:00"/>
    <d v="2026-02-08T00:00:00"/>
    <x v="0"/>
    <x v="2"/>
    <n v="32.200000000186265"/>
    <s v="Not Applicable"/>
    <n v="2.7000000000116415"/>
    <x v="0"/>
    <s v="Not Applicable"/>
    <n v="25.300000000046566"/>
    <n v="25"/>
    <n v="61"/>
    <n v="0.4098360655737705"/>
  </r>
  <r>
    <s v="VH1040"/>
    <x v="1"/>
    <x v="0"/>
    <d v="2026-01-18T10:15:00"/>
    <d v="2026-01-20T18:51:00"/>
    <d v="2026-01-21T18:51:00"/>
    <d v="2026-01-29T23:39:00"/>
    <d v="2026-01-21T18:51:00"/>
    <d v="2026-01-28T00:00:00"/>
    <x v="5"/>
    <x v="1"/>
    <n v="56.599999999918509"/>
    <s v="Not Applicable"/>
    <n v="8.1999999999970896"/>
    <x v="1"/>
    <s v="Not Applicable"/>
    <n v="0"/>
    <n v="24"/>
    <n v="60"/>
    <n v="0.4"/>
  </r>
  <r>
    <s v="VH1041"/>
    <x v="1"/>
    <x v="5"/>
    <d v="2026-04-26T17:00:00"/>
    <d v="2026-04-27T15:42:00"/>
    <d v="2026-04-29T03:42:00"/>
    <d v="2026-05-03T03:42:00"/>
    <d v="2026-05-01T11:30:00"/>
    <d v="2026-05-03T00:00:00"/>
    <x v="4"/>
    <x v="1"/>
    <n v="22.699999999778811"/>
    <s v="Not Applicable"/>
    <n v="4"/>
    <x v="1"/>
    <s v="Not Applicable"/>
    <n v="55.799999999755528"/>
    <n v="24"/>
    <n v="59"/>
    <n v="0.40677966101694918"/>
  </r>
  <r>
    <s v="VH1042"/>
    <x v="1"/>
    <x v="4"/>
    <d v="2026-04-06T16:15:00"/>
    <d v="2026-04-09T00:51:00"/>
    <d v="2026-04-10T00:51:00"/>
    <d v="2026-04-19T08:03:00"/>
    <d v="2026-04-11T08:00:00"/>
    <d v="2026-04-19T00:00:00"/>
    <x v="5"/>
    <x v="6"/>
    <n v="56.599999999918509"/>
    <s v="Not Applicable"/>
    <n v="9.2999999999956344"/>
    <x v="1"/>
    <s v="Not Applicable"/>
    <n v="31.150000000081491"/>
    <n v="24"/>
    <n v="58"/>
    <n v="0.41379310344827586"/>
  </r>
  <r>
    <s v="VH1043"/>
    <x v="0"/>
    <x v="1"/>
    <d v="2026-03-10T08:45:00"/>
    <d v="2026-03-11T22:39:00"/>
    <d v="2026-03-13T10:39:00"/>
    <d v="2026-03-17T05:51:00"/>
    <d v="2026-03-15T08:00:00"/>
    <d v="2026-03-16T00:00:00"/>
    <x v="4"/>
    <x v="1"/>
    <n v="37.899999999732245"/>
    <s v="No"/>
    <n v="3.8000000000029104"/>
    <x v="1"/>
    <s v="Ineffective"/>
    <n v="45.350000000267755"/>
    <n v="24"/>
    <n v="57"/>
    <n v="0.42105263157894735"/>
  </r>
  <r>
    <s v="VH1044"/>
    <x v="1"/>
    <x v="2"/>
    <d v="2026-01-28T15:30:00"/>
    <d v="2026-01-30T20:30:00"/>
    <d v="2026-01-31T04:30:00"/>
    <d v="2026-02-04T11:42:00"/>
    <d v="2026-02-02T11:15:00"/>
    <d v="2026-02-04T00:00:00"/>
    <x v="2"/>
    <x v="3"/>
    <n v="52.999999999534339"/>
    <s v="Not Applicable"/>
    <n v="4.3000000000029104"/>
    <x v="1"/>
    <s v="Not Applicable"/>
    <n v="54.75"/>
    <n v="24"/>
    <n v="56"/>
    <n v="0.42857142857142855"/>
  </r>
  <r>
    <s v="VH1045"/>
    <x v="1"/>
    <x v="1"/>
    <d v="2026-03-11T08:30:00"/>
    <d v="2026-03-12T18:06:00"/>
    <d v="2026-03-12T22:06:00"/>
    <d v="2026-03-15T02:54:00"/>
    <d v="2026-03-13T11:00:00"/>
    <d v="2026-03-15T00:00:00"/>
    <x v="0"/>
    <x v="3"/>
    <n v="33.600000000384171"/>
    <s v="Not Applicable"/>
    <n v="2.1999999999970896"/>
    <x v="0"/>
    <s v="Not Applicable"/>
    <n v="12.900000000314321"/>
    <n v="24"/>
    <n v="55"/>
    <n v="0.43636363636363634"/>
  </r>
  <r>
    <s v="VH1046"/>
    <x v="1"/>
    <x v="4"/>
    <d v="2026-01-20T11:15:00"/>
    <d v="2026-01-21T11:09:00"/>
    <d v="2026-01-22T11:09:00"/>
    <d v="2026-01-25T11:09:00"/>
    <d v="2026-01-25T08:30:00"/>
    <d v="2026-01-24T00:00:00"/>
    <x v="0"/>
    <x v="8"/>
    <n v="23.89999999984866"/>
    <s v="Not Applicable"/>
    <n v="3"/>
    <x v="0"/>
    <s v="Not Applicable"/>
    <n v="69.349999999918509"/>
    <n v="23"/>
    <n v="54"/>
    <n v="0.42592592592592593"/>
  </r>
  <r>
    <s v="VH1047"/>
    <x v="1"/>
    <x v="1"/>
    <d v="2026-04-02T09:15:00"/>
    <d v="2026-04-03T15:27:00"/>
    <d v="2026-04-03T23:27:00"/>
    <d v="2026-04-08T13:51:00"/>
    <d v="2026-04-04T09:00:00"/>
    <d v="2026-04-09T00:00:00"/>
    <x v="4"/>
    <x v="7"/>
    <n v="30.20000000030268"/>
    <s v="Not Applicable"/>
    <n v="4.5999999999985448"/>
    <x v="1"/>
    <s v="Not Applicable"/>
    <n v="9.5500000000465661"/>
    <n v="22"/>
    <n v="53"/>
    <n v="0.41509433962264153"/>
  </r>
  <r>
    <s v="VH1048"/>
    <x v="1"/>
    <x v="0"/>
    <d v="2026-03-17T11:00:00"/>
    <d v="2026-03-19T21:12:00"/>
    <d v="2026-03-21T21:12:00"/>
    <d v="2026-03-26T14:00:00"/>
    <d v="2026-03-22T09:15:00"/>
    <d v="2026-03-26T00:00:00"/>
    <x v="1"/>
    <x v="9"/>
    <n v="58.199999999720603"/>
    <s v="Not Applicable"/>
    <n v="4.7000000000116415"/>
    <x v="1"/>
    <s v="Not Applicable"/>
    <n v="12.049999999813735"/>
    <n v="22"/>
    <n v="52"/>
    <n v="0.42307692307692307"/>
  </r>
  <r>
    <s v="VH1049"/>
    <x v="1"/>
    <x v="4"/>
    <d v="2026-02-24T13:00:00"/>
    <d v="2026-02-25T01:36:00"/>
    <d v="2026-02-26T13:36:00"/>
    <d v="2026-03-02T13:36:00"/>
    <d v="2026-02-27T08:30:00"/>
    <d v="2026-03-02T00:00:00"/>
    <x v="5"/>
    <x v="6"/>
    <n v="12.600000000384171"/>
    <s v="Not Applicable"/>
    <n v="4"/>
    <x v="1"/>
    <s v="Not Applicable"/>
    <n v="18.899999999615829"/>
    <n v="22"/>
    <n v="51"/>
    <n v="0.43137254901960786"/>
  </r>
  <r>
    <s v="VH1050"/>
    <x v="1"/>
    <x v="1"/>
    <d v="2026-01-20T14:15:00"/>
    <d v="2026-01-22T18:27:00"/>
    <d v="2026-01-24T18:27:00"/>
    <d v="2026-01-26T01:39:00"/>
    <d v="2026-01-24T22:27:00"/>
    <d v="2026-01-26T00:00:00"/>
    <x v="0"/>
    <x v="8"/>
    <n v="52.200000000069849"/>
    <s v="Not Applicable"/>
    <n v="1.2999999999956344"/>
    <x v="0"/>
    <s v="Not Applicable"/>
    <n v="3.9999999999417923"/>
    <n v="22"/>
    <n v="50"/>
    <n v="0.44"/>
  </r>
  <r>
    <s v="VH1051"/>
    <x v="1"/>
    <x v="2"/>
    <d v="2026-02-11T11:00:00"/>
    <d v="2026-02-13T13:42:00"/>
    <d v="2026-02-13T21:42:00"/>
    <d v="2026-02-19T04:54:00"/>
    <d v="2026-02-14T09:15:00"/>
    <d v="2026-02-18T00:00:00"/>
    <x v="4"/>
    <x v="9"/>
    <n v="50.699999999720603"/>
    <s v="Not Applicable"/>
    <n v="5.3000000000029104"/>
    <x v="1"/>
    <s v="Not Applicable"/>
    <n v="11.549999999755528"/>
    <n v="21"/>
    <n v="49"/>
    <n v="0.42857142857142855"/>
  </r>
  <r>
    <s v="VH1052"/>
    <x v="1"/>
    <x v="3"/>
    <d v="2026-03-04T11:30:00"/>
    <d v="2026-03-06T07:24:00"/>
    <d v="2026-03-06T15:24:00"/>
    <d v="2026-03-08T15:24:00"/>
    <d v="2026-03-06T19:24:00"/>
    <d v="2026-03-08T00:00:00"/>
    <x v="0"/>
    <x v="5"/>
    <n v="43.900000000081491"/>
    <s v="Not Applicable"/>
    <n v="2"/>
    <x v="0"/>
    <s v="Not Applicable"/>
    <n v="3.9999999997671694"/>
    <n v="21"/>
    <n v="48"/>
    <n v="0.4375"/>
  </r>
  <r>
    <s v="VH1053"/>
    <x v="0"/>
    <x v="5"/>
    <d v="2026-03-04T16:15:00"/>
    <d v="2026-03-06T12:03:00"/>
    <d v="2026-03-08T12:03:00"/>
    <d v="2026-03-09T14:27:00"/>
    <d v="2026-03-09T08:00:00"/>
    <d v="2026-03-08T00:00:00"/>
    <x v="0"/>
    <x v="7"/>
    <n v="43.799999999755528"/>
    <s v="No"/>
    <n v="1.0999999999985448"/>
    <x v="0"/>
    <s v="Effective"/>
    <n v="19.950000000244472"/>
    <n v="20"/>
    <n v="47"/>
    <n v="0.42553191489361702"/>
  </r>
  <r>
    <s v="VH1054"/>
    <x v="0"/>
    <x v="2"/>
    <d v="2026-02-17T15:30:00"/>
    <d v="2026-02-18T22:30:00"/>
    <d v="2026-02-19T22:30:00"/>
    <d v="2026-02-26T15:18:00"/>
    <d v="2026-02-20T09:15:00"/>
    <d v="2026-02-25T00:00:00"/>
    <x v="1"/>
    <x v="7"/>
    <n v="30.999999999767169"/>
    <s v="No"/>
    <n v="6.6999999999970896"/>
    <x v="1"/>
    <s v="Ineffective"/>
    <n v="10.749999999767169"/>
    <n v="19"/>
    <n v="46"/>
    <n v="0.41304347826086957"/>
  </r>
  <r>
    <s v="VH1055"/>
    <x v="1"/>
    <x v="2"/>
    <d v="2026-01-16T16:15:00"/>
    <d v="2026-01-18T22:39:00"/>
    <d v="2026-01-19T02:39:00"/>
    <d v="2026-01-23T19:27:00"/>
    <d v="2026-01-19T02:39:00"/>
    <d v="2026-01-24T00:00:00"/>
    <x v="2"/>
    <x v="5"/>
    <n v="54.399999999732245"/>
    <s v="Not Applicable"/>
    <n v="4.6999999999970896"/>
    <x v="1"/>
    <s v="Not Applicable"/>
    <n v="0"/>
    <n v="19"/>
    <n v="45"/>
    <n v="0.42222222222222222"/>
  </r>
  <r>
    <s v="VH1056"/>
    <x v="1"/>
    <x v="3"/>
    <d v="2026-02-07T11:30:00"/>
    <d v="2026-02-10T19:18:00"/>
    <d v="2026-02-10T23:18:00"/>
    <d v="2026-02-14T04:06:00"/>
    <d v="2026-02-13T08:30:00"/>
    <d v="2026-02-15T00:00:00"/>
    <x v="0"/>
    <x v="4"/>
    <n v="79.800000000279397"/>
    <s v="Not Applicable"/>
    <n v="3.1999999999970896"/>
    <x v="0"/>
    <s v="Not Applicable"/>
    <n v="57.199999999778811"/>
    <n v="19"/>
    <n v="44"/>
    <n v="0.43181818181818182"/>
  </r>
  <r>
    <s v="VH1057"/>
    <x v="0"/>
    <x v="4"/>
    <d v="2026-03-04T09:00:00"/>
    <d v="2026-03-06T02:36:00"/>
    <d v="2026-03-07T14:36:00"/>
    <d v="2026-03-11T07:24:00"/>
    <d v="2026-03-08T09:15:00"/>
    <d v="2026-03-10T00:00:00"/>
    <x v="1"/>
    <x v="5"/>
    <n v="41.599999999918509"/>
    <s v="No"/>
    <n v="3.6999999999970896"/>
    <x v="1"/>
    <s v="Ineffective"/>
    <n v="18.64999999984866"/>
    <n v="18"/>
    <n v="43"/>
    <n v="0.41860465116279072"/>
  </r>
  <r>
    <s v="VH1058"/>
    <x v="1"/>
    <x v="0"/>
    <d v="2026-02-21T15:00:00"/>
    <d v="2026-02-24T22:30:00"/>
    <d v="2026-02-26T10:30:00"/>
    <d v="2026-03-02T03:18:00"/>
    <d v="2026-02-26T10:30:00"/>
    <d v="2026-03-02T00:00:00"/>
    <x v="2"/>
    <x v="5"/>
    <n v="79.5"/>
    <s v="Not Applicable"/>
    <n v="3.6999999999970896"/>
    <x v="1"/>
    <s v="Not Applicable"/>
    <n v="0"/>
    <n v="18"/>
    <n v="42"/>
    <n v="0.42857142857142855"/>
  </r>
  <r>
    <s v="VH1059"/>
    <x v="1"/>
    <x v="4"/>
    <d v="2026-04-08T14:15:00"/>
    <d v="2026-04-10T15:57:00"/>
    <d v="2026-04-12T03:57:00"/>
    <d v="2026-04-13T03:57:00"/>
    <d v="2026-04-12T03:57:00"/>
    <d v="2026-04-14T00:00:00"/>
    <x v="0"/>
    <x v="3"/>
    <n v="49.699999999953434"/>
    <s v="Not Applicable"/>
    <n v="1"/>
    <x v="0"/>
    <s v="Not Applicable"/>
    <n v="0"/>
    <n v="18"/>
    <n v="41"/>
    <n v="0.43902439024390244"/>
  </r>
  <r>
    <s v="VH1060"/>
    <x v="1"/>
    <x v="4"/>
    <d v="2026-04-05T09:15:00"/>
    <d v="2026-04-09T01:09:00"/>
    <d v="2026-04-11T01:09:00"/>
    <d v="2026-04-15T22:45:00"/>
    <d v="2026-04-11T10:00:00"/>
    <d v="2026-04-15T00:00:00"/>
    <x v="2"/>
    <x v="6"/>
    <n v="87.900000000314321"/>
    <s v="Not Applicable"/>
    <n v="4.8999999999869033"/>
    <x v="1"/>
    <s v="Not Applicable"/>
    <n v="8.8499999996856786"/>
    <n v="17"/>
    <n v="40"/>
    <n v="0.42499999999999999"/>
  </r>
  <r>
    <s v="VH1061"/>
    <x v="1"/>
    <x v="1"/>
    <d v="2026-03-18T15:30:00"/>
    <d v="2026-03-22T05:54:00"/>
    <d v="2026-03-22T05:54:00"/>
    <d v="2026-03-26T20:18:00"/>
    <d v="2026-03-22T05:54:00"/>
    <d v="2026-03-25T00:00:00"/>
    <x v="3"/>
    <x v="8"/>
    <n v="86.399999999615829"/>
    <s v="Not Applicable"/>
    <n v="4.6000000000058208"/>
    <x v="1"/>
    <s v="Not Applicable"/>
    <n v="0"/>
    <n v="17"/>
    <n v="39"/>
    <n v="0.4358974358974359"/>
  </r>
  <r>
    <s v="VH1062"/>
    <x v="1"/>
    <x v="1"/>
    <d v="2026-04-13T11:45:00"/>
    <d v="2026-04-17T04:57:00"/>
    <d v="2026-04-17T04:57:00"/>
    <d v="2026-04-18T14:33:00"/>
    <d v="2026-04-17T04:57:00"/>
    <d v="2026-04-17T00:00:00"/>
    <x v="0"/>
    <x v="0"/>
    <n v="89.199999999837019"/>
    <s v="Not Applicable"/>
    <n v="1.3999999999941792"/>
    <x v="0"/>
    <s v="Not Applicable"/>
    <n v="0"/>
    <n v="17"/>
    <n v="38"/>
    <n v="0.44736842105263158"/>
  </r>
  <r>
    <s v="VH1063"/>
    <x v="1"/>
    <x v="4"/>
    <d v="2026-04-06T17:30:00"/>
    <d v="2026-04-08T15:42:00"/>
    <d v="2026-04-09T15:42:00"/>
    <d v="2026-04-16T01:18:00"/>
    <d v="2026-04-10T11:30:00"/>
    <d v="2026-04-16T00:00:00"/>
    <x v="4"/>
    <x v="5"/>
    <n v="46.200000000244472"/>
    <s v="Not Applicable"/>
    <n v="6.4000000000014552"/>
    <x v="1"/>
    <s v="Not Applicable"/>
    <n v="19.799999999755528"/>
    <n v="16"/>
    <n v="37"/>
    <n v="0.43243243243243246"/>
  </r>
  <r>
    <s v="VH1064"/>
    <x v="0"/>
    <x v="0"/>
    <d v="2026-02-25T13:30:00"/>
    <d v="2026-02-27T03:36:00"/>
    <d v="2026-02-27T03:36:00"/>
    <d v="2026-03-07T15:36:00"/>
    <d v="2026-02-27T09:30:00"/>
    <d v="2026-03-06T00:00:00"/>
    <x v="3"/>
    <x v="0"/>
    <n v="38.100000000034925"/>
    <s v="No"/>
    <n v="8.5"/>
    <x v="1"/>
    <s v="Ineffective"/>
    <n v="5.900000000197906"/>
    <n v="16"/>
    <n v="36"/>
    <n v="0.44444444444444442"/>
  </r>
  <r>
    <s v="VH1065"/>
    <x v="1"/>
    <x v="4"/>
    <d v="2026-01-06T10:45:00"/>
    <d v="2026-01-10T00:15:00"/>
    <d v="2026-01-11T12:15:00"/>
    <d v="2026-01-13T02:39:00"/>
    <d v="2026-01-11T12:15:00"/>
    <d v="2026-01-13T00:00:00"/>
    <x v="0"/>
    <x v="5"/>
    <n v="85.5"/>
    <s v="Not Applicable"/>
    <n v="1.6000000000130967"/>
    <x v="0"/>
    <s v="Not Applicable"/>
    <n v="0"/>
    <n v="16"/>
    <n v="35"/>
    <n v="0.45714285714285713"/>
  </r>
  <r>
    <s v="VH1066"/>
    <x v="1"/>
    <x v="5"/>
    <d v="2026-02-14T14:30:00"/>
    <d v="2026-02-15T05:36:00"/>
    <d v="2026-02-15T13:36:00"/>
    <d v="2026-02-17T20:48:00"/>
    <d v="2026-02-15T17:36:00"/>
    <d v="2026-02-17T00:00:00"/>
    <x v="0"/>
    <x v="2"/>
    <n v="15.10000000015134"/>
    <s v="Not Applicable"/>
    <n v="2.2999999999956344"/>
    <x v="0"/>
    <s v="Not Applicable"/>
    <n v="3.9999999997671694"/>
    <n v="15"/>
    <n v="34"/>
    <n v="0.44117647058823528"/>
  </r>
  <r>
    <s v="VH1067"/>
    <x v="1"/>
    <x v="0"/>
    <d v="2026-02-28T09:30:00"/>
    <d v="2026-03-01T02:24:00"/>
    <d v="2026-03-01T10:24:00"/>
    <d v="2026-03-03T05:36:00"/>
    <d v="2026-03-01T10:24:00"/>
    <d v="2026-03-02T00:00:00"/>
    <x v="0"/>
    <x v="2"/>
    <n v="16.899999999732245"/>
    <s v="Not Applicable"/>
    <n v="1.8000000000029104"/>
    <x v="0"/>
    <s v="Not Applicable"/>
    <n v="0"/>
    <n v="14"/>
    <n v="33"/>
    <n v="0.42424242424242425"/>
  </r>
  <r>
    <s v="VH1068"/>
    <x v="1"/>
    <x v="5"/>
    <d v="2026-02-22T08:15:00"/>
    <d v="2026-02-26T19:27:00"/>
    <d v="2026-02-28T07:27:00"/>
    <d v="2026-03-02T07:27:00"/>
    <d v="2026-02-28T07:27:00"/>
    <d v="2026-03-01T00:00:00"/>
    <x v="0"/>
    <x v="0"/>
    <n v="107.20000000001164"/>
    <s v="Not Applicable"/>
    <n v="2"/>
    <x v="0"/>
    <s v="Not Applicable"/>
    <n v="0"/>
    <n v="13"/>
    <n v="32"/>
    <n v="0.40625"/>
  </r>
  <r>
    <s v="VH1069"/>
    <x v="0"/>
    <x v="4"/>
    <d v="2026-03-04T09:00:00"/>
    <d v="2026-03-06T00:54:00"/>
    <d v="2026-03-08T00:54:00"/>
    <d v="2026-03-11T03:18:00"/>
    <d v="2026-03-10T11:30:00"/>
    <d v="2026-03-09T00:00:00"/>
    <x v="0"/>
    <x v="5"/>
    <n v="39.899999999965075"/>
    <s v="No"/>
    <n v="3.0999999999985448"/>
    <x v="0"/>
    <s v="Effective"/>
    <n v="58.599999999802094"/>
    <n v="12"/>
    <n v="31"/>
    <n v="0.38709677419354838"/>
  </r>
  <r>
    <s v="VH1070"/>
    <x v="1"/>
    <x v="5"/>
    <d v="2026-01-16T10:45:00"/>
    <d v="2026-01-18T07:27:00"/>
    <d v="2026-01-20T07:27:00"/>
    <d v="2026-01-23T17:03:00"/>
    <d v="2026-01-23T09:00:00"/>
    <d v="2026-01-23T00:00:00"/>
    <x v="0"/>
    <x v="4"/>
    <n v="44.700000000244472"/>
    <s v="Not Applicable"/>
    <n v="3.4000000000014552"/>
    <x v="0"/>
    <s v="Not Applicable"/>
    <n v="73.549999999988358"/>
    <n v="11"/>
    <n v="30"/>
    <n v="0.36666666666666664"/>
  </r>
  <r>
    <s v="VH1071"/>
    <x v="0"/>
    <x v="0"/>
    <d v="2026-03-18T16:15:00"/>
    <d v="2026-03-21T01:03:00"/>
    <d v="2026-03-21T09:03:00"/>
    <d v="2026-03-28T13:51:00"/>
    <d v="2026-03-22T10:15:00"/>
    <d v="2026-03-26T00:00:00"/>
    <x v="1"/>
    <x v="0"/>
    <n v="56.79999999969732"/>
    <s v="Yes"/>
    <n v="7.1999999999970896"/>
    <x v="1"/>
    <s v="Effective"/>
    <n v="25.200000000244472"/>
    <n v="10"/>
    <n v="29"/>
    <n v="0.34482758620689657"/>
  </r>
  <r>
    <s v="VH1072"/>
    <x v="1"/>
    <x v="0"/>
    <d v="2026-02-06T12:45:00"/>
    <d v="2026-02-09T11:39:00"/>
    <d v="2026-02-10T11:39:00"/>
    <d v="2026-02-13T02:03:00"/>
    <d v="2026-02-10T11:39:00"/>
    <d v="2026-02-11T00:00:00"/>
    <x v="0"/>
    <x v="9"/>
    <n v="70.900000000081491"/>
    <s v="Not Applicable"/>
    <n v="2.5999999999985448"/>
    <x v="0"/>
    <s v="Not Applicable"/>
    <n v="0"/>
    <n v="10"/>
    <n v="28"/>
    <n v="0.35714285714285715"/>
  </r>
  <r>
    <s v="VH1073"/>
    <x v="1"/>
    <x v="3"/>
    <d v="2026-03-31T11:45:00"/>
    <d v="2026-04-02T22:39:00"/>
    <d v="2026-04-02T22:39:00"/>
    <d v="2026-04-10T13:03:00"/>
    <d v="2026-04-04T11:00:00"/>
    <d v="2026-04-10T00:00:00"/>
    <x v="3"/>
    <x v="4"/>
    <n v="58.899999999732245"/>
    <s v="Not Applicable"/>
    <n v="7.5999999999985448"/>
    <x v="1"/>
    <s v="Not Applicable"/>
    <n v="36.350000000267755"/>
    <n v="9"/>
    <n v="27"/>
    <n v="0.33333333333333331"/>
  </r>
  <r>
    <s v="VH1074"/>
    <x v="1"/>
    <x v="5"/>
    <d v="2026-01-05T10:30:00"/>
    <d v="2026-01-09T00:06:00"/>
    <d v="2026-01-10T00:06:00"/>
    <d v="2026-01-11T04:54:00"/>
    <d v="2026-01-10T00:06:00"/>
    <d v="2026-01-11T00:00:00"/>
    <x v="0"/>
    <x v="4"/>
    <n v="85.60000000015134"/>
    <s v="Not Applicable"/>
    <n v="1.1999999999970896"/>
    <x v="0"/>
    <s v="Not Applicable"/>
    <n v="0"/>
    <n v="9"/>
    <n v="26"/>
    <n v="0.34615384615384615"/>
  </r>
  <r>
    <s v="VH1075"/>
    <x v="0"/>
    <x v="2"/>
    <d v="2026-02-03T13:45:00"/>
    <d v="2026-02-04T08:57:00"/>
    <d v="2026-02-06T08:57:00"/>
    <d v="2026-02-07T08:57:00"/>
    <d v="2026-02-06T11:15:00"/>
    <d v="2026-02-07T00:00:00"/>
    <x v="0"/>
    <x v="6"/>
    <n v="19.200000000244472"/>
    <s v="No"/>
    <n v="1"/>
    <x v="0"/>
    <s v="Effective"/>
    <n v="2.2999999999883585"/>
    <n v="8"/>
    <n v="25"/>
    <n v="0.32"/>
  </r>
  <r>
    <s v="VH1076"/>
    <x v="1"/>
    <x v="4"/>
    <d v="2026-01-05T17:00:00"/>
    <d v="2026-01-08T03:12:00"/>
    <d v="2026-01-08T11:12:00"/>
    <d v="2026-01-15T16:00:00"/>
    <d v="2026-01-11T10:15:00"/>
    <d v="2026-01-13T00:00:00"/>
    <x v="2"/>
    <x v="5"/>
    <n v="58.199999999720603"/>
    <s v="Not Applicable"/>
    <n v="7.1999999999898137"/>
    <x v="1"/>
    <s v="Not Applicable"/>
    <n v="71.050000000221189"/>
    <n v="7"/>
    <n v="24"/>
    <n v="0.29166666666666669"/>
  </r>
  <r>
    <s v="VH1077"/>
    <x v="0"/>
    <x v="0"/>
    <d v="2026-02-08T08:00:00"/>
    <d v="2026-02-09T11:42:00"/>
    <d v="2026-02-09T19:42:00"/>
    <d v="2026-02-14T14:54:00"/>
    <d v="2026-02-10T10:00:00"/>
    <d v="2026-02-13T00:00:00"/>
    <x v="1"/>
    <x v="4"/>
    <n v="27.699999999837019"/>
    <s v="No"/>
    <n v="4.7999999999956344"/>
    <x v="1"/>
    <s v="Ineffective"/>
    <n v="14.299999999813735"/>
    <n v="7"/>
    <n v="23"/>
    <n v="0.30434782608695654"/>
  </r>
  <r>
    <s v="VH1078"/>
    <x v="1"/>
    <x v="3"/>
    <d v="2026-01-23T09:45:00"/>
    <d v="2026-01-25T04:51:00"/>
    <d v="2026-01-26T16:51:00"/>
    <d v="2026-01-29T21:39:00"/>
    <d v="2026-01-27T10:00:00"/>
    <d v="2026-01-29T00:00:00"/>
    <x v="0"/>
    <x v="3"/>
    <n v="43.099999999918509"/>
    <s v="Not Applicable"/>
    <n v="3.1999999999970896"/>
    <x v="0"/>
    <s v="Not Applicable"/>
    <n v="17.14999999984866"/>
    <n v="7"/>
    <n v="22"/>
    <n v="0.31818181818181818"/>
  </r>
  <r>
    <s v="VH1079"/>
    <x v="0"/>
    <x v="4"/>
    <d v="2026-03-28T16:15:00"/>
    <d v="2026-03-30T15:33:00"/>
    <d v="2026-04-01T03:33:00"/>
    <d v="2026-04-07T13:09:00"/>
    <d v="2026-04-01T07:33:00"/>
    <d v="2026-04-07T00:00:00"/>
    <x v="5"/>
    <x v="0"/>
    <n v="47.299999999813735"/>
    <s v="No"/>
    <n v="6.4000000000014552"/>
    <x v="1"/>
    <s v="Ineffective"/>
    <n v="3.9999999999417923"/>
    <n v="6"/>
    <n v="21"/>
    <n v="0.2857142857142857"/>
  </r>
  <r>
    <s v="VH1080"/>
    <x v="1"/>
    <x v="3"/>
    <d v="2026-02-19T15:00:00"/>
    <d v="2026-02-22T00:18:00"/>
    <d v="2026-02-23T12:18:00"/>
    <d v="2026-03-02T07:30:00"/>
    <d v="2026-02-23T12:18:00"/>
    <d v="2026-03-03T00:00:00"/>
    <x v="4"/>
    <x v="1"/>
    <n v="57.299999999930151"/>
    <s v="Not Applicable"/>
    <n v="6.8000000000029104"/>
    <x v="1"/>
    <s v="Not Applicable"/>
    <n v="0"/>
    <n v="6"/>
    <n v="20"/>
    <n v="0.3"/>
  </r>
  <r>
    <s v="VH1081"/>
    <x v="0"/>
    <x v="0"/>
    <d v="2026-04-21T08:45:00"/>
    <d v="2026-04-22T22:51:00"/>
    <d v="2026-04-23T02:51:00"/>
    <d v="2026-04-23T14:51:00"/>
    <d v="2026-04-23T06:51:00"/>
    <d v="2026-04-24T00:00:00"/>
    <x v="0"/>
    <x v="4"/>
    <n v="38.099999999685679"/>
    <s v="No"/>
    <n v="0.5"/>
    <x v="0"/>
    <s v="Effective"/>
    <n v="4.0000000001164153"/>
    <n v="6"/>
    <n v="19"/>
    <n v="0.31578947368421051"/>
  </r>
  <r>
    <s v="VH1082"/>
    <x v="1"/>
    <x v="1"/>
    <d v="2026-01-13T08:30:00"/>
    <d v="2026-01-15T16:54:00"/>
    <d v="2026-01-16T00:54:00"/>
    <d v="2026-01-19T17:42:00"/>
    <d v="2026-01-16T09:15:00"/>
    <d v="2026-01-18T00:00:00"/>
    <x v="4"/>
    <x v="4"/>
    <n v="56.400000000314321"/>
    <s v="Not Applicable"/>
    <n v="3.7000000000043656"/>
    <x v="1"/>
    <s v="Not Applicable"/>
    <n v="8.349999999802094"/>
    <n v="5"/>
    <n v="18"/>
    <n v="0.27777777777777779"/>
  </r>
  <r>
    <s v="VH1083"/>
    <x v="1"/>
    <x v="3"/>
    <d v="2026-01-17T16:30:00"/>
    <d v="2026-01-18T00:30:00"/>
    <d v="2026-01-18T04:30:00"/>
    <d v="2026-01-21T11:42:00"/>
    <d v="2026-01-18T08:30:00"/>
    <d v="2026-01-20T00:00:00"/>
    <x v="0"/>
    <x v="9"/>
    <n v="8.0000000002328306"/>
    <s v="Not Applicable"/>
    <n v="3.3000000000029104"/>
    <x v="0"/>
    <s v="Not Applicable"/>
    <n v="3.9999999997671694"/>
    <n v="5"/>
    <n v="17"/>
    <n v="0.29411764705882354"/>
  </r>
  <r>
    <s v="VH1084"/>
    <x v="0"/>
    <x v="2"/>
    <d v="2026-01-10T10:15:00"/>
    <d v="2026-01-11T23:57:00"/>
    <d v="2026-01-12T23:57:00"/>
    <d v="2026-01-14T16:45:00"/>
    <d v="2026-01-12T23:57:00"/>
    <d v="2026-01-14T00:00:00"/>
    <x v="0"/>
    <x v="3"/>
    <n v="37.699999999778811"/>
    <s v="No"/>
    <n v="1.6999999999898137"/>
    <x v="0"/>
    <s v="Effective"/>
    <n v="0"/>
    <n v="4"/>
    <n v="16"/>
    <n v="0.25"/>
  </r>
  <r>
    <s v="VH1085"/>
    <x v="1"/>
    <x v="2"/>
    <d v="2026-03-10T09:45:00"/>
    <d v="2026-03-11T15:57:00"/>
    <d v="2026-03-11T23:57:00"/>
    <d v="2026-03-18T14:21:00"/>
    <d v="2026-03-12T10:15:00"/>
    <d v="2026-03-16T00:00:00"/>
    <x v="5"/>
    <x v="7"/>
    <n v="30.199999999953434"/>
    <s v="Not Applicable"/>
    <n v="6.6000000000058208"/>
    <x v="1"/>
    <s v="Not Applicable"/>
    <n v="10.300000000221189"/>
    <n v="3"/>
    <n v="15"/>
    <n v="0.2"/>
  </r>
  <r>
    <s v="VH1086"/>
    <x v="0"/>
    <x v="0"/>
    <d v="2026-04-24T16:30:00"/>
    <d v="2026-04-26T02:42:00"/>
    <d v="2026-04-26T02:42:00"/>
    <d v="2026-04-29T14:42:00"/>
    <d v="2026-04-26T06:42:00"/>
    <d v="2026-04-28T00:00:00"/>
    <x v="0"/>
    <x v="5"/>
    <n v="34.200000000069849"/>
    <s v="No"/>
    <n v="3.5"/>
    <x v="0"/>
    <s v="Effective"/>
    <n v="3.9999999999417923"/>
    <n v="3"/>
    <n v="14"/>
    <n v="0.21428571428571427"/>
  </r>
  <r>
    <s v="VH1087"/>
    <x v="1"/>
    <x v="3"/>
    <d v="2026-01-06T08:30:00"/>
    <d v="2026-01-09T02:24:00"/>
    <d v="2026-01-09T06:24:00"/>
    <d v="2026-01-13T11:12:00"/>
    <d v="2026-01-11T10:15:00"/>
    <d v="2026-01-11T00:00:00"/>
    <x v="3"/>
    <x v="2"/>
    <n v="65.900000000197906"/>
    <s v="Not Applicable"/>
    <n v="4.1999999999970896"/>
    <x v="1"/>
    <s v="Not Applicable"/>
    <n v="51.85000000015134"/>
    <n v="3"/>
    <n v="13"/>
    <n v="0.23076923076923078"/>
  </r>
  <r>
    <s v="VH1088"/>
    <x v="0"/>
    <x v="2"/>
    <d v="2026-04-04T10:45:00"/>
    <d v="2026-04-05T06:39:00"/>
    <d v="2026-04-06T18:39:00"/>
    <d v="2026-04-07T21:03:00"/>
    <d v="2026-04-06T18:39:00"/>
    <d v="2026-04-08T00:00:00"/>
    <x v="0"/>
    <x v="6"/>
    <n v="19.900000000081491"/>
    <s v="No"/>
    <n v="1.1000000000058208"/>
    <x v="0"/>
    <s v="Effective"/>
    <n v="0"/>
    <n v="3"/>
    <n v="12"/>
    <n v="0.25"/>
  </r>
  <r>
    <s v="VH1089"/>
    <x v="0"/>
    <x v="1"/>
    <d v="2026-04-20T13:00:00"/>
    <d v="2026-04-22T02:06:00"/>
    <d v="2026-04-24T02:06:00"/>
    <d v="2026-04-28T02:06:00"/>
    <d v="2026-04-24T06:06:00"/>
    <d v="2026-04-27T00:00:00"/>
    <x v="5"/>
    <x v="6"/>
    <n v="37.100000000267755"/>
    <s v="No"/>
    <n v="4"/>
    <x v="1"/>
    <s v="Ineffective"/>
    <n v="4.0000000001164153"/>
    <n v="2"/>
    <n v="11"/>
    <n v="0.18181818181818182"/>
  </r>
  <r>
    <s v="VH1090"/>
    <x v="0"/>
    <x v="2"/>
    <d v="2026-03-24T17:00:00"/>
    <d v="2026-03-26T05:18:00"/>
    <d v="2026-03-26T09:18:00"/>
    <d v="2026-03-31T04:30:00"/>
    <d v="2026-03-26T13:18:00"/>
    <d v="2026-03-29T00:00:00"/>
    <x v="4"/>
    <x v="8"/>
    <n v="36.299999999755528"/>
    <s v="No"/>
    <n v="4.8000000000029104"/>
    <x v="1"/>
    <s v="Ineffective"/>
    <n v="4.0000000001164153"/>
    <n v="2"/>
    <n v="10"/>
    <n v="0.2"/>
  </r>
  <r>
    <s v="VH1091"/>
    <x v="1"/>
    <x v="3"/>
    <d v="2026-04-15T11:30:00"/>
    <d v="2026-04-18T00:24:00"/>
    <d v="2026-04-19T12:24:00"/>
    <d v="2026-04-27T12:24:00"/>
    <d v="2026-04-20T10:00:00"/>
    <d v="2026-04-27T00:00:00"/>
    <x v="3"/>
    <x v="4"/>
    <n v="60.900000000314321"/>
    <s v="Not Applicable"/>
    <n v="8"/>
    <x v="1"/>
    <s v="Not Applicable"/>
    <n v="21.599999999685679"/>
    <n v="2"/>
    <n v="9"/>
    <n v="0.22222222222222221"/>
  </r>
  <r>
    <s v="VH1092"/>
    <x v="1"/>
    <x v="0"/>
    <d v="2026-03-26T08:15:00"/>
    <d v="2026-03-30T05:57:00"/>
    <d v="2026-03-30T09:57:00"/>
    <d v="2026-04-03T21:57:00"/>
    <d v="2026-03-30T09:57:00"/>
    <d v="2026-04-02T00:00:00"/>
    <x v="4"/>
    <x v="1"/>
    <n v="93.700000000011642"/>
    <s v="Not Applicable"/>
    <n v="4.5"/>
    <x v="1"/>
    <s v="Not Applicable"/>
    <n v="0"/>
    <n v="2"/>
    <n v="8"/>
    <n v="0.25"/>
  </r>
  <r>
    <s v="VH1093"/>
    <x v="0"/>
    <x v="0"/>
    <d v="2026-01-09T15:45:00"/>
    <d v="2026-01-10T22:33:00"/>
    <d v="2026-01-10T22:33:00"/>
    <d v="2026-01-12T17:45:00"/>
    <d v="2026-01-11T08:15:00"/>
    <d v="2026-01-12T00:00:00"/>
    <x v="0"/>
    <x v="2"/>
    <n v="30.799999999988358"/>
    <s v="No"/>
    <n v="1.8000000000101863"/>
    <x v="0"/>
    <s v="Effective"/>
    <n v="9.7000000000116415"/>
    <n v="2"/>
    <n v="7"/>
    <n v="0.2857142857142857"/>
  </r>
  <r>
    <s v="VH1094"/>
    <x v="0"/>
    <x v="3"/>
    <d v="2026-01-04T08:45:00"/>
    <d v="2026-01-05T18:51:00"/>
    <d v="2026-01-05T18:51:00"/>
    <d v="2026-01-08T06:51:00"/>
    <d v="2026-01-06T11:15:00"/>
    <d v="2026-01-07T00:00:00"/>
    <x v="0"/>
    <x v="8"/>
    <n v="34.099999999918509"/>
    <s v="No"/>
    <n v="2.5"/>
    <x v="0"/>
    <s v="Effective"/>
    <n v="16.39999999984866"/>
    <n v="1"/>
    <n v="6"/>
    <n v="0.16666666666666666"/>
  </r>
  <r>
    <s v="VH1095"/>
    <x v="0"/>
    <x v="0"/>
    <d v="2026-02-05T17:30:00"/>
    <d v="2026-02-06T14:06:00"/>
    <d v="2026-02-06T22:06:00"/>
    <d v="2026-02-12T22:06:00"/>
    <d v="2026-02-07T08:00:00"/>
    <d v="2026-02-12T00:00:00"/>
    <x v="4"/>
    <x v="2"/>
    <n v="20.600000000267755"/>
    <s v="No"/>
    <n v="6"/>
    <x v="1"/>
    <s v="Ineffective"/>
    <n v="9.9000000003143214"/>
    <n v="0"/>
    <n v="5"/>
    <n v="0"/>
  </r>
  <r>
    <s v="VH1096"/>
    <x v="1"/>
    <x v="1"/>
    <d v="2026-04-21T11:45:00"/>
    <d v="2026-04-23T03:39:00"/>
    <d v="2026-04-23T11:39:00"/>
    <d v="2026-04-28T02:03:00"/>
    <d v="2026-04-23T11:00:00"/>
    <d v="2026-04-26T00:00:00"/>
    <x v="5"/>
    <x v="9"/>
    <n v="39.899999999615829"/>
    <s v="Not Applicable"/>
    <n v="4.5999999999985448"/>
    <x v="1"/>
    <s v="Not Applicable"/>
    <n v="-0.64999999984866008"/>
    <n v="0"/>
    <n v="4"/>
    <n v="0"/>
  </r>
  <r>
    <s v="VH1097"/>
    <x v="0"/>
    <x v="3"/>
    <d v="2026-01-20T15:00:00"/>
    <d v="2026-01-21T23:00:00"/>
    <d v="2026-01-22T23:00:00"/>
    <d v="2026-01-27T15:48:00"/>
    <d v="2026-01-23T03:00:00"/>
    <d v="2026-01-26T00:00:00"/>
    <x v="2"/>
    <x v="8"/>
    <n v="32.000000000232831"/>
    <s v="No"/>
    <n v="4.6999999999898137"/>
    <x v="1"/>
    <s v="Ineffective"/>
    <n v="3.9999999997671694"/>
    <n v="0"/>
    <n v="3"/>
    <n v="0"/>
  </r>
  <r>
    <s v="VH1098"/>
    <x v="1"/>
    <x v="4"/>
    <d v="2026-03-13T13:00:00"/>
    <d v="2026-03-14T06:06:00"/>
    <d v="2026-03-15T06:06:00"/>
    <d v="2026-03-21T15:42:00"/>
    <d v="2026-03-15T11:30:00"/>
    <d v="2026-03-19T00:00:00"/>
    <x v="1"/>
    <x v="9"/>
    <n v="17.100000000384171"/>
    <s v="Not Applicable"/>
    <n v="6.3999999999941792"/>
    <x v="1"/>
    <s v="Not Applicable"/>
    <n v="5.3999999996158294"/>
    <n v="0"/>
    <n v="2"/>
    <n v="0"/>
  </r>
  <r>
    <s v="VH1099"/>
    <x v="1"/>
    <x v="0"/>
    <d v="2026-03-15T16:15:00"/>
    <d v="2026-03-18T13:27:00"/>
    <d v="2026-03-18T13:27:00"/>
    <d v="2026-03-24T15:51:00"/>
    <d v="2026-03-20T11:00:00"/>
    <d v="2026-03-25T00:00:00"/>
    <x v="1"/>
    <x v="7"/>
    <n v="69.199999999778811"/>
    <s v="Not Applicable"/>
    <n v="6.1000000000058208"/>
    <x v="1"/>
    <s v="Not Applicable"/>
    <n v="45.550000000221189"/>
    <n v="0"/>
    <n v="1"/>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B7B0BD3-97C2-48BC-9A23-CBEE1C216117}" name="PT_Garage_VO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5:G7" firstHeaderRow="1" firstDataRow="1" firstDataCol="1"/>
  <pivotFields count="20">
    <pivotField showAll="0"/>
    <pivotField showAll="0">
      <items count="3">
        <item h="1" x="0"/>
        <item x="1"/>
        <item t="default"/>
      </items>
    </pivotField>
    <pivotField showAll="0"/>
    <pivotField numFmtId="164" showAll="0"/>
    <pivotField numFmtId="164" showAll="0"/>
    <pivotField numFmtId="164" showAll="0"/>
    <pivotField numFmtId="164" showAll="0"/>
    <pivotField showAll="0"/>
    <pivotField showAll="0"/>
    <pivotField showAll="0"/>
    <pivotField axis="axisRow" showAll="0" sortType="descending">
      <items count="11">
        <item h="1" x="9"/>
        <item h="1" x="4"/>
        <item h="1" x="5"/>
        <item x="7"/>
        <item h="1" x="8"/>
        <item h="1" x="0"/>
        <item h="1" x="1"/>
        <item h="1" x="6"/>
        <item h="1" x="2"/>
        <item h="1" x="3"/>
        <item t="default"/>
      </items>
    </pivotField>
    <pivotField numFmtId="2" showAll="0"/>
    <pivotField showAll="0"/>
    <pivotField dataField="1" showAll="0"/>
    <pivotField showAll="0">
      <items count="3">
        <item h="1" x="0"/>
        <item x="1"/>
        <item t="default"/>
      </items>
    </pivotField>
    <pivotField showAll="0"/>
    <pivotField showAll="0"/>
    <pivotField showAll="0"/>
    <pivotField showAll="0"/>
    <pivotField numFmtId="166" showAll="0"/>
  </pivotFields>
  <rowFields count="1">
    <field x="10"/>
  </rowFields>
  <rowItems count="2">
    <i>
      <x v="3"/>
    </i>
    <i t="grand">
      <x/>
    </i>
  </rowItems>
  <colItems count="1">
    <i/>
  </colItems>
  <dataFields count="1">
    <dataField name="Count of Total_VOR_Days" fld="13" subtotal="count" baseField="10" baseItem="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3DCB6EB-A694-4FCE-8122-8F9E3271AF1B}" name="PT_VOR_SLA"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5:C7" firstHeaderRow="1" firstDataRow="1" firstDataCol="1"/>
  <pivotFields count="20">
    <pivotField dataField="1" showAll="0"/>
    <pivotField showAll="0">
      <items count="3">
        <item h="1" x="0"/>
        <item x="1"/>
        <item t="default"/>
      </items>
    </pivotField>
    <pivotField showAll="0"/>
    <pivotField numFmtId="164" showAll="0"/>
    <pivotField numFmtId="164" showAll="0"/>
    <pivotField numFmtId="164" showAll="0"/>
    <pivotField numFmtId="164" showAll="0"/>
    <pivotField showAll="0"/>
    <pivotField showAll="0"/>
    <pivotField showAll="0"/>
    <pivotField showAll="0">
      <items count="11">
        <item h="1" x="3"/>
        <item h="1" x="2"/>
        <item h="1" x="6"/>
        <item h="1" x="1"/>
        <item h="1" x="0"/>
        <item h="1" x="8"/>
        <item x="7"/>
        <item h="1" x="5"/>
        <item h="1" x="4"/>
        <item h="1" x="9"/>
        <item t="default"/>
      </items>
    </pivotField>
    <pivotField numFmtId="2" showAll="0"/>
    <pivotField showAll="0"/>
    <pivotField showAll="0"/>
    <pivotField axis="axisRow" showAll="0">
      <items count="3">
        <item h="1" x="0"/>
        <item x="1"/>
        <item t="default"/>
      </items>
    </pivotField>
    <pivotField showAll="0"/>
    <pivotField showAll="0"/>
    <pivotField showAll="0"/>
    <pivotField showAll="0"/>
    <pivotField numFmtId="166" showAll="0"/>
  </pivotFields>
  <rowFields count="1">
    <field x="14"/>
  </rowFields>
  <rowItems count="2">
    <i>
      <x v="1"/>
    </i>
    <i t="grand">
      <x/>
    </i>
  </rowItems>
  <colItems count="1">
    <i/>
  </colItems>
  <dataFields count="1">
    <dataField name="Count of Vehicle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1661E84-86F7-42C6-8D04-09EF462D8C1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26:H31" firstHeaderRow="1" firstDataRow="1" firstDataCol="1"/>
  <pivotFields count="20">
    <pivotField showAll="0"/>
    <pivotField showAll="0">
      <items count="3">
        <item h="1" x="0"/>
        <item x="1"/>
        <item t="default"/>
      </items>
    </pivotField>
    <pivotField axis="axisRow" showAll="0">
      <items count="7">
        <item x="0"/>
        <item x="3"/>
        <item x="2"/>
        <item x="5"/>
        <item x="4"/>
        <item x="1"/>
        <item t="default"/>
      </items>
    </pivotField>
    <pivotField numFmtId="164" showAll="0"/>
    <pivotField numFmtId="164" showAll="0"/>
    <pivotField numFmtId="164" showAll="0"/>
    <pivotField numFmtId="164" showAll="0"/>
    <pivotField showAll="0"/>
    <pivotField showAll="0"/>
    <pivotField showAll="0"/>
    <pivotField showAll="0">
      <items count="11">
        <item h="1" x="3"/>
        <item h="1" x="2"/>
        <item h="1" x="6"/>
        <item h="1" x="1"/>
        <item h="1" x="0"/>
        <item h="1" x="8"/>
        <item x="7"/>
        <item h="1" x="5"/>
        <item h="1" x="4"/>
        <item h="1" x="9"/>
        <item t="default"/>
      </items>
    </pivotField>
    <pivotField numFmtId="2" showAll="0"/>
    <pivotField showAll="0"/>
    <pivotField dataField="1" showAll="0"/>
    <pivotField showAll="0">
      <items count="3">
        <item h="1" x="0"/>
        <item x="1"/>
        <item t="default"/>
      </items>
    </pivotField>
    <pivotField showAll="0"/>
    <pivotField showAll="0"/>
    <pivotField showAll="0"/>
    <pivotField showAll="0"/>
    <pivotField numFmtId="166" showAll="0"/>
  </pivotFields>
  <rowFields count="1">
    <field x="2"/>
  </rowFields>
  <rowItems count="5">
    <i>
      <x/>
    </i>
    <i>
      <x v="2"/>
    </i>
    <i>
      <x v="4"/>
    </i>
    <i>
      <x v="5"/>
    </i>
    <i t="grand">
      <x/>
    </i>
  </rowItems>
  <colItems count="1">
    <i/>
  </colItems>
  <dataFields count="1">
    <dataField name="Average of Total_VOR_Days" fld="13" subtotal="average"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57777C-B7BB-4DD5-AE74-121281273483}" name="PT_KPI_Summa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20:H21" firstHeaderRow="0" firstDataRow="1" firstDataCol="0"/>
  <pivotFields count="20">
    <pivotField dataField="1" showAll="0"/>
    <pivotField showAll="0">
      <items count="3">
        <item h="1" x="0"/>
        <item x="1"/>
        <item t="default"/>
      </items>
    </pivotField>
    <pivotField showAll="0"/>
    <pivotField numFmtId="164" showAll="0"/>
    <pivotField numFmtId="164" showAll="0"/>
    <pivotField numFmtId="164" showAll="0"/>
    <pivotField numFmtId="164" showAll="0"/>
    <pivotField showAll="0"/>
    <pivotField showAll="0"/>
    <pivotField showAll="0"/>
    <pivotField showAll="0">
      <items count="11">
        <item h="1" x="3"/>
        <item h="1" x="2"/>
        <item h="1" x="6"/>
        <item h="1" x="1"/>
        <item h="1" x="0"/>
        <item h="1" x="8"/>
        <item x="7"/>
        <item h="1" x="5"/>
        <item h="1" x="4"/>
        <item h="1" x="9"/>
        <item t="default"/>
      </items>
    </pivotField>
    <pivotField dataField="1" numFmtId="2" showAll="0"/>
    <pivotField showAll="0"/>
    <pivotField dataField="1" showAll="0"/>
    <pivotField showAll="0">
      <items count="3">
        <item h="1" x="0"/>
        <item x="1"/>
        <item t="default"/>
      </items>
    </pivotField>
    <pivotField showAll="0"/>
    <pivotField showAll="0"/>
    <pivotField showAll="0"/>
    <pivotField showAll="0"/>
    <pivotField numFmtId="166" showAll="0"/>
  </pivotFields>
  <rowItems count="1">
    <i/>
  </rowItems>
  <colFields count="1">
    <field x="-2"/>
  </colFields>
  <colItems count="3">
    <i>
      <x/>
    </i>
    <i i="1">
      <x v="1"/>
    </i>
    <i i="2">
      <x v="2"/>
    </i>
  </colItems>
  <dataFields count="3">
    <dataField name="Count of Vehicle_ID" fld="0" subtotal="count" baseField="0" baseItem="0"/>
    <dataField name="Average of Total_VOR_Days" fld="13" subtotal="average" baseField="0" baseItem="0" numFmtId="165"/>
    <dataField name="Average of Hours_To_Book" fld="11" subtotal="average"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DDBC70-B4BE-44DA-BD4A-C16CB6F7C5E4}" name="PT_Delay_Reason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0:C26" firstHeaderRow="1" firstDataRow="1" firstDataCol="1"/>
  <pivotFields count="20">
    <pivotField dataField="1" showAll="0"/>
    <pivotField multipleItemSelectionAllowed="1" showAll="0">
      <items count="3">
        <item h="1" x="0"/>
        <item x="1"/>
        <item t="default"/>
      </items>
    </pivotField>
    <pivotField showAll="0"/>
    <pivotField numFmtId="164" showAll="0"/>
    <pivotField numFmtId="164" showAll="0"/>
    <pivotField numFmtId="164" showAll="0"/>
    <pivotField numFmtId="164" showAll="0"/>
    <pivotField showAll="0"/>
    <pivotField showAll="0"/>
    <pivotField axis="axisRow" showAll="0">
      <items count="7">
        <item x="4"/>
        <item x="2"/>
        <item x="3"/>
        <item x="0"/>
        <item x="5"/>
        <item x="1"/>
        <item t="default"/>
      </items>
    </pivotField>
    <pivotField multipleItemSelectionAllowed="1" showAll="0">
      <items count="11">
        <item h="1" x="3"/>
        <item h="1" x="2"/>
        <item h="1" x="6"/>
        <item h="1" x="1"/>
        <item h="1" x="0"/>
        <item h="1" x="8"/>
        <item x="7"/>
        <item h="1" x="5"/>
        <item h="1" x="4"/>
        <item h="1" x="9"/>
        <item t="default"/>
      </items>
    </pivotField>
    <pivotField numFmtId="2" showAll="0"/>
    <pivotField showAll="0"/>
    <pivotField showAll="0"/>
    <pivotField showAll="0">
      <items count="3">
        <item h="1" x="0"/>
        <item x="1"/>
        <item t="default"/>
      </items>
    </pivotField>
    <pivotField showAll="0"/>
    <pivotField showAll="0"/>
    <pivotField showAll="0"/>
    <pivotField showAll="0"/>
    <pivotField numFmtId="166" showAll="0"/>
  </pivotFields>
  <rowFields count="1">
    <field x="9"/>
  </rowFields>
  <rowItems count="6">
    <i>
      <x/>
    </i>
    <i>
      <x v="1"/>
    </i>
    <i>
      <x v="2"/>
    </i>
    <i>
      <x v="4"/>
    </i>
    <i>
      <x v="5"/>
    </i>
    <i t="grand">
      <x/>
    </i>
  </rowItems>
  <colItems count="1">
    <i/>
  </colItems>
  <dataFields count="1">
    <dataField name="Count of Vehicle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hicle_Type" xr10:uid="{C5EC28E2-C290-4EC1-BDF0-4FD2A09F2798}" sourceName="Vehicle_Type">
  <pivotTables>
    <pivotTable tabId="9" name="PT_VOR_SLA"/>
    <pivotTable tabId="9" name="PT_Delay_Reasons"/>
    <pivotTable tabId="9" name="PT_Garage_VOR"/>
    <pivotTable tabId="9" name="PT_KPI_Summary"/>
    <pivotTable tabId="9" name="PivotTable3"/>
  </pivotTables>
  <data>
    <tabular pivotCacheId="380791044">
      <items count="2">
        <i x="0"/>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OR_SLA_Breached?" xr10:uid="{D3981A9D-FC6C-474F-8399-E9925B875B3A}" sourceName="VOR_SLA_Breached?">
  <pivotTables>
    <pivotTable tabId="9" name="PT_VOR_SLA"/>
    <pivotTable tabId="9" name="PT_Delay_Reasons"/>
    <pivotTable tabId="9" name="PT_Garage_VOR"/>
    <pivotTable tabId="9" name="PT_KPI_Summary"/>
    <pivotTable tabId="9" name="PivotTable3"/>
  </pivotTables>
  <data>
    <tabular pivotCacheId="380791044">
      <items count="2">
        <i x="1" s="1"/>
        <i x="0"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arage_Name" xr10:uid="{E6B8F9C5-D75B-4E8F-8790-20DB920EFE98}" sourceName="Garage_Name">
  <pivotTables>
    <pivotTable tabId="9" name="PT_Garage_VOR"/>
    <pivotTable tabId="9" name="PT_Delay_Reasons"/>
    <pivotTable tabId="9" name="PT_KPI_Summary"/>
    <pivotTable tabId="9" name="PT_VOR_SLA"/>
    <pivotTable tabId="9" name="PivotTable3"/>
  </pivotTables>
  <data>
    <tabular pivotCacheId="380791044">
      <items count="10">
        <i x="3"/>
        <i x="2"/>
        <i x="6"/>
        <i x="1"/>
        <i x="8"/>
        <i x="7" s="1"/>
        <i x="5"/>
        <i x="4"/>
        <i x="9"/>
        <i x="0"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ehicle_Type" xr10:uid="{E3642F9A-B3E9-4D0C-881E-D681AD091375}" cache="Slicer_Vehicle_Type" caption="Vehicle_Type" rowHeight="241300"/>
  <slicer name="VOR_SLA_Breached?" xr10:uid="{10264D35-7669-4140-A121-D08DC5F36284}" cache="Slicer_VOR_SLA_Breached?" caption="VOR_SLA_Breached?" rowHeight="241300"/>
  <slicer name="Garage_Name" xr10:uid="{A5AC57F7-8417-4832-A433-A1470DEBF2A1}" cache="Slicer_Garage_Name" caption="Garage_Name" startItem="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880813-0AA7-4209-BCB9-A1AC2A217C89}" name="Table5" displayName="Table5" ref="A1:M102" totalsRowShown="0" headerRowDxfId="28" tableBorderDxfId="27">
  <autoFilter ref="A1:M102" xr:uid="{D9880813-0AA7-4209-BCB9-A1AC2A217C89}">
    <filterColumn colId="1">
      <filters blank="1"/>
    </filterColumn>
  </autoFilter>
  <tableColumns count="13">
    <tableColumn id="1" xr3:uid="{F50D1306-2FE1-4A52-A528-6EB843A17553}" name="Vehicle_ID"/>
    <tableColumn id="2" xr3:uid="{DE2E612A-B8FF-4370-B9BE-75120412B025}" name="Vehicle_Type"/>
    <tableColumn id="3" xr3:uid="{FB1AA470-51D3-45D3-9178-F1076E4DF13E}" name="Make_Model"/>
    <tableColumn id="4" xr3:uid="{57802059-6BD7-459C-8FC0-871C7DBCF4F0}" name="Defect_Reported_DateTime"/>
    <tableColumn id="5" xr3:uid="{7EFD5B29-C4BD-4CF4-A4E4-103CD06BDBFD}" name="Garage_Booked_DateTime"/>
    <tableColumn id="6" xr3:uid="{517D4DB3-B260-4102-AAA6-0228EF43855D}" name="Garage_In_Date"/>
    <tableColumn id="7" xr3:uid="{3F1C3D3A-60D1-4CED-8A3F-F864B27E91C1}" name="Garage_Out_Date"/>
    <tableColumn id="8" xr3:uid="{0331DCDA-A17F-49B6-82A6-F5BC9F8397A2}" name="Actual_Repair_Start_Date"/>
    <tableColumn id="9" xr3:uid="{57FF45C0-5DFF-46E2-9703-1D1D0AE4DD64}" name="Estimated_Completion_Date"/>
    <tableColumn id="10" xr3:uid="{1415A57A-F7B0-4559-A23B-9FB7344A6737}" name="Primary_Delay_Reason"/>
    <tableColumn id="11" xr3:uid="{AC505FAF-FC41-484D-B01A-0E60884D524A}" name="MOT_Linked"/>
    <tableColumn id="12" xr3:uid="{0B0AC1C7-0714-4DFC-94CF-97A653244A2B}" name="Repeated_Defect_Last_30_Days"/>
    <tableColumn id="13" xr3:uid="{54ACD1F1-93AC-4EDF-9D01-2F860A5B11F1}" name="Garage_Name"/>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C3E279E-C834-41C1-B4E3-397DD16332E6}" name="Table8" displayName="Table8" ref="A1:Q102" totalsRowCount="1" headerRowDxfId="46" dataDxfId="45" tableBorderDxfId="44">
  <autoFilter ref="A1:Q101" xr:uid="{1C3E279E-C834-41C1-B4E3-397DD16332E6}"/>
  <tableColumns count="17">
    <tableColumn id="1" xr3:uid="{E2BB72A1-FF59-485C-988D-5ED9B074C202}" name="Vehicle_ID" dataDxfId="43" totalsRowDxfId="26"/>
    <tableColumn id="2" xr3:uid="{699A1765-7611-484C-9681-E10EAFBF1A2E}" name="Vehicle_Type" dataDxfId="42" totalsRowDxfId="25"/>
    <tableColumn id="3" xr3:uid="{CC6D4CA6-C1D0-4160-BC87-6D8C9FAA0E42}" name="Make_Model" dataDxfId="41" totalsRowDxfId="24"/>
    <tableColumn id="4" xr3:uid="{6BACE8D8-337A-47E8-9E0A-E9086DC0C093}" name="Defect_Reported_DateTime" dataDxfId="40" totalsRowDxfId="23"/>
    <tableColumn id="5" xr3:uid="{1A6BA0D0-CC2B-4C46-A027-679D29225FD5}" name="Garage_Booked_DateTime" dataDxfId="39" totalsRowDxfId="22"/>
    <tableColumn id="6" xr3:uid="{AF3D9BE3-108D-4134-B482-25F722D39360}" name="Garage_In_Date" dataDxfId="38" totalsRowDxfId="21"/>
    <tableColumn id="7" xr3:uid="{1C131A64-57D9-439B-AB85-48FC70202C2B}" name="Garage_Out_Date" dataDxfId="37" totalsRowDxfId="20"/>
    <tableColumn id="8" xr3:uid="{DE7BEB9E-C2DF-431D-B3D7-89318D71AAD2}" name="Actual_Repair_Start_Date" dataDxfId="36" totalsRowDxfId="19"/>
    <tableColumn id="9" xr3:uid="{7ECEF031-D5AD-42F2-87FF-BEF0D1B28E94}" name="Estimated_Completion_Date" dataDxfId="35" totalsRowDxfId="18"/>
    <tableColumn id="10" xr3:uid="{509ABB0E-864F-4799-A6F2-FDA0ADEC0E0A}" name="Primary_Delay_Reason" totalsRowFunction="custom" dataDxfId="34" totalsRowDxfId="17">
      <totalsRowFormula>AVERAGEIF(Table8[Primary_Delay_Reason],"Parts on Backorder",Table8[Total_VOR_Days])</totalsRowFormula>
    </tableColumn>
    <tableColumn id="11" xr3:uid="{8F49DBBF-25B2-45AD-8420-CC6C26A4AEE0}" name="Garage_Name" dataDxfId="33" totalsRowDxfId="16"/>
    <tableColumn id="12" xr3:uid="{140660A4-6CE7-405D-896D-88C442B2BFF9}" name="Hours_To_Book" dataDxfId="32" totalsRowDxfId="15">
      <calculatedColumnFormula>(Table8[[#This Row],[Garage_Booked_DateTime]] - Table8[[#This Row],[Defect_Reported_DateTime]])*24</calculatedColumnFormula>
    </tableColumn>
    <tableColumn id="13" xr3:uid="{C9287C02-F0D4-4533-97A5-A12EE8CD845E}" name="Booking_SLA_Breached?" dataDxfId="2" totalsRowDxfId="1">
      <calculatedColumnFormula>IF(Table8[[#This Row],[Vehicle_Type]]&lt;&gt;"Specialised", "Not Applicable", IF(Table8[[#This Row],[Hours_To_Book]]&gt;48, "Yes", "No"))</calculatedColumnFormula>
    </tableColumn>
    <tableColumn id="14" xr3:uid="{00D5BD2D-E24D-46FF-A480-6B922F2010AA}" name="Total_VOR_Days" dataDxfId="31" totalsRowDxfId="14">
      <calculatedColumnFormula>(Table8[[#This Row],[Garage_Out_Date]]-Table8[[#This Row],[Garage_In_Date]])</calculatedColumnFormula>
    </tableColumn>
    <tableColumn id="15" xr3:uid="{F484B604-7836-440E-9E6C-D4A97D35AA31}" name="VOR_SLA_Breached?" dataDxfId="30" totalsRowDxfId="13">
      <calculatedColumnFormula>IF(Table8[[#This Row],[Total_VOR_Days]] &gt;3.5, "Yes", "No")</calculatedColumnFormula>
    </tableColumn>
    <tableColumn id="16" xr3:uid="{E8BD110C-80CC-40ED-8ED3-6627C9220E23}" name="Specialist_Priority_Effectiveness" dataDxfId="0" totalsRowDxfId="12">
      <calculatedColumnFormula>IF(Table8[[#This Row],[Vehicle_Type]]&lt;&gt;"Specialised","Not Applicable", IF(Table8[[#This Row],[Hours_To_Book]]&gt;48, "Not Assessed", IF(Table8[[#This Row],[Total_VOR_Days]]&gt;3.5, "Ineffective", "Effective")))</calculatedColumnFormula>
    </tableColumn>
    <tableColumn id="18" xr3:uid="{B291D45F-0549-4081-91A4-DF12ABEAAD82}" name="Hours_To_Start_Repair" dataDxfId="29" totalsRowDxfId="11">
      <calculatedColumnFormula>IF(OR(Table8[[#This Row],[Garage_In_Date]]="",Table8[[#This Row],[Actual_Repair_Start_Date]]=""),"N/A",(Table8[[#This Row],[Actual_Repair_Start_Date]]-Table8[[#This Row],[Garage_In_Date]])*24)</calculatedColumnFormula>
    </tableColumn>
  </tableColumns>
  <tableStyleInfo name="TableStyleLight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ntegral">
  <a:themeElements>
    <a:clrScheme name="Integral">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B9F25"/>
      </a:hlink>
      <a:folHlink>
        <a:srgbClr val="B26B02"/>
      </a:folHlink>
    </a:clrScheme>
    <a:fontScheme name="Integral">
      <a:majorFont>
        <a:latin typeface="Tw Cen MT Condensed" panose="020B06060201040202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w Cen MT" panose="020B06020201040206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Integral">
      <a:fillStyleLst>
        <a:solidFill>
          <a:schemeClr val="phClr"/>
        </a:solidFill>
        <a:gradFill rotWithShape="1">
          <a:gsLst>
            <a:gs pos="0">
              <a:schemeClr val="phClr">
                <a:tint val="83000"/>
                <a:satMod val="100000"/>
                <a:lumMod val="100000"/>
              </a:schemeClr>
            </a:gs>
            <a:gs pos="100000">
              <a:schemeClr val="phClr">
                <a:tint val="61000"/>
                <a:satMod val="150000"/>
                <a:lumMod val="100000"/>
              </a:schemeClr>
            </a:gs>
          </a:gsLst>
          <a:path path="circle">
            <a:fillToRect l="100000" t="100000" r="100000" b="100000"/>
          </a:path>
        </a:gradFill>
        <a:gradFill rotWithShape="1">
          <a:gsLst>
            <a:gs pos="0">
              <a:schemeClr val="phClr">
                <a:tint val="100000"/>
                <a:shade val="85000"/>
                <a:satMod val="100000"/>
                <a:lumMod val="100000"/>
              </a:schemeClr>
            </a:gs>
            <a:gs pos="100000">
              <a:schemeClr val="phClr">
                <a:tint val="90000"/>
                <a:shade val="100000"/>
                <a:satMod val="150000"/>
                <a:lumMod val="100000"/>
              </a:schemeClr>
            </a:gs>
          </a:gsLst>
          <a:path path="circle">
            <a:fillToRect l="100000" t="100000" r="100000" b="100000"/>
          </a:path>
        </a:gradFill>
      </a:fillStyleLst>
      <a:lnStyleLst>
        <a:ln w="9525" cap="flat" cmpd="sng" algn="ctr">
          <a:solidFill>
            <a:schemeClr val="phClr"/>
          </a:solidFill>
          <a:prstDash val="solid"/>
        </a:ln>
        <a:ln w="15875"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outerShdw blurRad="50800" dist="12700" dir="5400000" algn="ctr" rotWithShape="0">
              <a:srgbClr val="000000">
                <a:alpha val="50000"/>
              </a:srgbClr>
            </a:outerShdw>
          </a:effectLst>
        </a:effectStyle>
        <a:effectStyle>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hemeClr val="phClr">
                <a:shade val="35000"/>
                <a:satMod val="160000"/>
              </a:schemeClr>
            </a:contourClr>
          </a:sp3d>
        </a:effectStyle>
      </a:effectStyleLst>
      <a:bgFillStyleLst>
        <a:solidFill>
          <a:schemeClr val="phClr"/>
        </a:solidFill>
        <a:solidFill>
          <a:schemeClr val="phClr">
            <a:tint val="95000"/>
            <a:shade val="85000"/>
            <a:satMod val="125000"/>
          </a:schemeClr>
        </a:solidFill>
        <a:blipFill rotWithShape="1">
          <a:blip xmlns:r="http://schemas.openxmlformats.org/officeDocument/2006/relationships" r:embed="rId1">
            <a:duotone>
              <a:schemeClr val="phClr">
                <a:tint val="95000"/>
                <a:shade val="74000"/>
                <a:satMod val="230000"/>
              </a:schemeClr>
              <a:schemeClr val="phClr">
                <a:tint val="92000"/>
                <a:shade val="69000"/>
                <a:satMod val="250000"/>
              </a:schemeClr>
            </a:duotone>
          </a:blip>
          <a:tile tx="0" ty="0" sx="40000" sy="40000" flip="none" algn="tl"/>
        </a:blipFill>
      </a:bgFillStyleLst>
    </a:fmtScheme>
  </a:themeElements>
  <a:objectDefaults/>
  <a:extraClrSchemeLst/>
  <a:extLst>
    <a:ext uri="{05A4C25C-085E-4340-85A3-A5531E510DB2}">
      <thm15:themeFamily xmlns:thm15="http://schemas.microsoft.com/office/thememl/2012/main" name="Integral" id="{3577F8C9-A904-41D8-97D2-FD898F53F20E}" vid="{682D6EBE-8D36-4FF2-9DB3-F3D8D7B6715D}"/>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2.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P102"/>
  <sheetViews>
    <sheetView zoomScale="84" zoomScaleNormal="84" workbookViewId="0">
      <pane ySplit="1" topLeftCell="A10" activePane="bottomLeft" state="frozen"/>
      <selection pane="bottomLeft" activeCell="L34" sqref="L34 L99 L102"/>
    </sheetView>
  </sheetViews>
  <sheetFormatPr defaultRowHeight="24.95" customHeight="1"/>
  <cols>
    <col min="1" max="1" width="12" customWidth="1"/>
    <col min="2" max="2" width="14.125" customWidth="1"/>
    <col min="3" max="3" width="18" customWidth="1"/>
    <col min="4" max="4" width="26.25" customWidth="1"/>
    <col min="5" max="5" width="25.5" customWidth="1"/>
    <col min="6" max="6" width="22" style="4" customWidth="1"/>
    <col min="7" max="7" width="17.875" style="1" customWidth="1"/>
    <col min="8" max="8" width="24.875" style="1" customWidth="1"/>
    <col min="9" max="9" width="26.75" style="1" customWidth="1"/>
    <col min="10" max="10" width="25.375" style="1" customWidth="1"/>
    <col min="11" max="11" width="20.25" style="1" customWidth="1"/>
    <col min="12" max="12" width="19.75" customWidth="1"/>
    <col min="13" max="13" width="21.125" customWidth="1"/>
    <col min="14" max="14" width="22" customWidth="1"/>
    <col min="15" max="15" width="32" customWidth="1"/>
    <col min="16" max="16" width="26" customWidth="1"/>
  </cols>
  <sheetData>
    <row r="1" spans="1:16" ht="24.95" customHeight="1">
      <c r="A1" s="10" t="s">
        <v>0</v>
      </c>
      <c r="B1" s="10" t="s">
        <v>1</v>
      </c>
      <c r="C1" s="10" t="s">
        <v>2</v>
      </c>
      <c r="D1" s="10" t="s">
        <v>3</v>
      </c>
      <c r="E1" s="10" t="s">
        <v>4</v>
      </c>
      <c r="F1" s="11" t="s">
        <v>5</v>
      </c>
      <c r="G1" s="11" t="s">
        <v>6</v>
      </c>
      <c r="H1" s="11" t="s">
        <v>10</v>
      </c>
      <c r="I1" s="11" t="s">
        <v>11</v>
      </c>
      <c r="J1" s="11" t="s">
        <v>12</v>
      </c>
      <c r="K1" s="10" t="s">
        <v>7</v>
      </c>
      <c r="L1" s="10" t="s">
        <v>8</v>
      </c>
      <c r="M1" s="12" t="s">
        <v>9</v>
      </c>
      <c r="N1" s="9"/>
      <c r="O1" s="9"/>
      <c r="P1" s="9"/>
    </row>
    <row r="2" spans="1:16" ht="24.95" hidden="1" customHeight="1">
      <c r="A2" s="13" t="s">
        <v>13</v>
      </c>
      <c r="B2" s="13" t="s">
        <v>14</v>
      </c>
      <c r="C2" s="13" t="s">
        <v>15</v>
      </c>
      <c r="D2" s="14">
        <v>46035.5625</v>
      </c>
      <c r="E2" s="14">
        <v>46036.258333333331</v>
      </c>
      <c r="F2" s="14">
        <v>46038.258333333331</v>
      </c>
      <c r="G2" s="14">
        <v>46040.258333333331</v>
      </c>
      <c r="H2" s="14">
        <v>46038.354166666657</v>
      </c>
      <c r="I2" s="14">
        <v>46039</v>
      </c>
      <c r="J2" s="14" t="s">
        <v>19</v>
      </c>
      <c r="K2" s="13" t="s">
        <v>16</v>
      </c>
      <c r="L2" s="13" t="s">
        <v>17</v>
      </c>
      <c r="M2" s="15" t="s">
        <v>18</v>
      </c>
      <c r="N2" s="3"/>
    </row>
    <row r="3" spans="1:16" ht="24.95" hidden="1" customHeight="1">
      <c r="A3" s="16" t="s">
        <v>20</v>
      </c>
      <c r="B3" s="16" t="s">
        <v>21</v>
      </c>
      <c r="C3" s="16" t="s">
        <v>22</v>
      </c>
      <c r="D3" s="17">
        <v>46102.552083333343</v>
      </c>
      <c r="E3" s="17">
        <v>46104.76458333333</v>
      </c>
      <c r="F3" s="17">
        <v>46104.931250000001</v>
      </c>
      <c r="G3" s="17">
        <v>46108.53125</v>
      </c>
      <c r="H3" s="17">
        <v>46105.097916666673</v>
      </c>
      <c r="I3" s="17">
        <v>46108</v>
      </c>
      <c r="J3" s="17" t="s">
        <v>24</v>
      </c>
      <c r="K3" s="16" t="s">
        <v>17</v>
      </c>
      <c r="L3" s="16" t="s">
        <v>17</v>
      </c>
      <c r="M3" s="18" t="s">
        <v>23</v>
      </c>
      <c r="N3" s="3"/>
    </row>
    <row r="4" spans="1:16" ht="24.95" hidden="1" customHeight="1">
      <c r="A4" s="13" t="s">
        <v>25</v>
      </c>
      <c r="B4" s="13" t="s">
        <v>21</v>
      </c>
      <c r="C4" s="13" t="s">
        <v>26</v>
      </c>
      <c r="D4" s="14">
        <v>46081.552083333343</v>
      </c>
      <c r="E4" s="14">
        <v>46083.414583333331</v>
      </c>
      <c r="F4" s="14">
        <v>46083.747916666667</v>
      </c>
      <c r="G4" s="14">
        <v>46088.947916666657</v>
      </c>
      <c r="H4" s="14">
        <v>46083.914583333331</v>
      </c>
      <c r="I4" s="14">
        <v>46087</v>
      </c>
      <c r="J4" s="14" t="s">
        <v>28</v>
      </c>
      <c r="K4" s="13" t="s">
        <v>17</v>
      </c>
      <c r="L4" s="13" t="s">
        <v>16</v>
      </c>
      <c r="M4" s="15" t="s">
        <v>27</v>
      </c>
      <c r="N4" s="3"/>
    </row>
    <row r="5" spans="1:16" ht="24.95" hidden="1" customHeight="1">
      <c r="A5" s="16" t="s">
        <v>29</v>
      </c>
      <c r="B5" s="16" t="s">
        <v>14</v>
      </c>
      <c r="C5" s="16" t="s">
        <v>30</v>
      </c>
      <c r="D5" s="17">
        <v>46082.604166666657</v>
      </c>
      <c r="E5" s="17">
        <v>46084.316666666673</v>
      </c>
      <c r="F5" s="17">
        <v>46085.816666666673</v>
      </c>
      <c r="G5" s="17">
        <v>46089.816666666673</v>
      </c>
      <c r="H5" s="17">
        <v>46085.98333333333</v>
      </c>
      <c r="I5" s="17">
        <v>46088</v>
      </c>
      <c r="J5" s="17" t="s">
        <v>28</v>
      </c>
      <c r="K5" s="16" t="s">
        <v>17</v>
      </c>
      <c r="L5" s="16" t="s">
        <v>17</v>
      </c>
      <c r="M5" s="18" t="s">
        <v>31</v>
      </c>
      <c r="N5" s="3"/>
    </row>
    <row r="6" spans="1:16" ht="24.95" hidden="1" customHeight="1">
      <c r="A6" s="13" t="s">
        <v>32</v>
      </c>
      <c r="B6" s="13" t="s">
        <v>14</v>
      </c>
      <c r="C6" s="13" t="s">
        <v>30</v>
      </c>
      <c r="D6" s="14">
        <v>46031.479166666657</v>
      </c>
      <c r="E6" s="14">
        <v>46032.783333333333</v>
      </c>
      <c r="F6" s="14">
        <v>46034.783333333333</v>
      </c>
      <c r="G6" s="14">
        <v>46041.283333333333</v>
      </c>
      <c r="H6" s="14">
        <v>46035.354166666657</v>
      </c>
      <c r="I6" s="14">
        <v>46039</v>
      </c>
      <c r="J6" s="14" t="s">
        <v>33</v>
      </c>
      <c r="K6" s="13" t="s">
        <v>17</v>
      </c>
      <c r="L6" s="13" t="s">
        <v>17</v>
      </c>
      <c r="M6" s="15" t="s">
        <v>18</v>
      </c>
      <c r="N6" s="3"/>
    </row>
    <row r="7" spans="1:16" ht="24.95" hidden="1" customHeight="1">
      <c r="A7" s="16" t="s">
        <v>34</v>
      </c>
      <c r="B7" s="16" t="s">
        <v>21</v>
      </c>
      <c r="C7" s="16" t="s">
        <v>22</v>
      </c>
      <c r="D7" s="17">
        <v>46097.614583333343</v>
      </c>
      <c r="E7" s="17">
        <v>46097.947916666657</v>
      </c>
      <c r="F7" s="17">
        <v>46098.114583333343</v>
      </c>
      <c r="G7" s="17">
        <v>46107.51458333333</v>
      </c>
      <c r="H7" s="17">
        <v>46098.114583333343</v>
      </c>
      <c r="I7" s="17">
        <v>46106</v>
      </c>
      <c r="J7" s="17" t="s">
        <v>36</v>
      </c>
      <c r="K7" s="16" t="s">
        <v>16</v>
      </c>
      <c r="L7" s="16" t="s">
        <v>16</v>
      </c>
      <c r="M7" s="18" t="s">
        <v>35</v>
      </c>
      <c r="N7" s="3"/>
    </row>
    <row r="8" spans="1:16" ht="24.95" hidden="1" customHeight="1">
      <c r="A8" s="13" t="s">
        <v>37</v>
      </c>
      <c r="B8" s="13" t="s">
        <v>21</v>
      </c>
      <c r="C8" s="13" t="s">
        <v>22</v>
      </c>
      <c r="D8" s="14">
        <v>46077.708333333343</v>
      </c>
      <c r="E8" s="14">
        <v>46079.074999999997</v>
      </c>
      <c r="F8" s="14">
        <v>46080.074999999997</v>
      </c>
      <c r="G8" s="14">
        <v>46086.074999999997</v>
      </c>
      <c r="H8" s="14">
        <v>46080.395833333343</v>
      </c>
      <c r="I8" s="14">
        <v>46085</v>
      </c>
      <c r="J8" s="14" t="s">
        <v>39</v>
      </c>
      <c r="K8" s="13" t="s">
        <v>17</v>
      </c>
      <c r="L8" s="13" t="s">
        <v>17</v>
      </c>
      <c r="M8" s="15" t="s">
        <v>38</v>
      </c>
      <c r="N8" s="3"/>
    </row>
    <row r="9" spans="1:16" ht="24.95" hidden="1" customHeight="1">
      <c r="A9" s="16" t="s">
        <v>40</v>
      </c>
      <c r="B9" s="16" t="s">
        <v>21</v>
      </c>
      <c r="C9" s="16" t="s">
        <v>22</v>
      </c>
      <c r="D9" s="17">
        <v>46136.6875</v>
      </c>
      <c r="E9" s="17">
        <v>46139.074999999997</v>
      </c>
      <c r="F9" s="17">
        <v>46139.408333333333</v>
      </c>
      <c r="G9" s="17">
        <v>46141.808333333327</v>
      </c>
      <c r="H9" s="17">
        <v>46139.408333333333</v>
      </c>
      <c r="I9" s="17">
        <v>46140</v>
      </c>
      <c r="J9" s="17" t="s">
        <v>19</v>
      </c>
      <c r="K9" s="16" t="s">
        <v>17</v>
      </c>
      <c r="L9" s="16" t="s">
        <v>17</v>
      </c>
      <c r="M9" s="18" t="s">
        <v>18</v>
      </c>
      <c r="N9" s="3"/>
    </row>
    <row r="10" spans="1:16" ht="24.95" hidden="1" customHeight="1">
      <c r="A10" s="13" t="s">
        <v>41</v>
      </c>
      <c r="B10" s="13" t="s">
        <v>21</v>
      </c>
      <c r="C10" s="13" t="s">
        <v>42</v>
      </c>
      <c r="D10" s="14">
        <v>46120.416666666657</v>
      </c>
      <c r="E10" s="14">
        <v>46123.237500000003</v>
      </c>
      <c r="F10" s="14">
        <v>46125.237500000003</v>
      </c>
      <c r="G10" s="14">
        <v>46128.237500000003</v>
      </c>
      <c r="H10" s="14">
        <v>46125.404166666667</v>
      </c>
      <c r="I10" s="14">
        <v>46128</v>
      </c>
      <c r="J10" s="14" t="s">
        <v>19</v>
      </c>
      <c r="K10" s="13" t="s">
        <v>16</v>
      </c>
      <c r="L10" s="13" t="s">
        <v>17</v>
      </c>
      <c r="M10" s="15" t="s">
        <v>27</v>
      </c>
      <c r="N10" s="3"/>
    </row>
    <row r="11" spans="1:16" ht="24.95" hidden="1" customHeight="1">
      <c r="A11" s="16" t="s">
        <v>43</v>
      </c>
      <c r="B11" s="16" t="s">
        <v>21</v>
      </c>
      <c r="C11" s="16" t="s">
        <v>15</v>
      </c>
      <c r="D11" s="17">
        <v>46099.572916666657</v>
      </c>
      <c r="E11" s="17">
        <v>46103.956250000003</v>
      </c>
      <c r="F11" s="17">
        <v>46104.289583333331</v>
      </c>
      <c r="G11" s="17">
        <v>46109.089583333327</v>
      </c>
      <c r="H11" s="17">
        <v>46107.416666666657</v>
      </c>
      <c r="I11" s="17">
        <v>46110</v>
      </c>
      <c r="J11" s="17" t="s">
        <v>28</v>
      </c>
      <c r="K11" s="16" t="s">
        <v>17</v>
      </c>
      <c r="L11" s="16" t="s">
        <v>17</v>
      </c>
      <c r="M11" s="18" t="s">
        <v>44</v>
      </c>
      <c r="N11" s="3"/>
    </row>
    <row r="12" spans="1:16" ht="24.95" hidden="1" customHeight="1">
      <c r="A12" s="13" t="s">
        <v>45</v>
      </c>
      <c r="B12" s="13" t="s">
        <v>21</v>
      </c>
      <c r="C12" s="13" t="s">
        <v>15</v>
      </c>
      <c r="D12" s="14">
        <v>46120.677083333343</v>
      </c>
      <c r="E12" s="14">
        <v>46123.689583333333</v>
      </c>
      <c r="F12" s="14">
        <v>46125.189583333333</v>
      </c>
      <c r="G12" s="14">
        <v>46130.989583333343</v>
      </c>
      <c r="H12" s="14">
        <v>46125.385416666657</v>
      </c>
      <c r="I12" s="14">
        <v>46130</v>
      </c>
      <c r="J12" s="14" t="s">
        <v>36</v>
      </c>
      <c r="K12" s="13" t="s">
        <v>17</v>
      </c>
      <c r="L12" s="13" t="s">
        <v>17</v>
      </c>
      <c r="M12" s="15" t="s">
        <v>27</v>
      </c>
      <c r="N12" s="3"/>
    </row>
    <row r="13" spans="1:16" ht="24.95" hidden="1" customHeight="1">
      <c r="A13" s="16" t="s">
        <v>46</v>
      </c>
      <c r="B13" s="16" t="s">
        <v>14</v>
      </c>
      <c r="C13" s="16" t="s">
        <v>26</v>
      </c>
      <c r="D13" s="17">
        <v>46114.53125</v>
      </c>
      <c r="E13" s="17">
        <v>46116.252083333333</v>
      </c>
      <c r="F13" s="17">
        <v>46117.252083333333</v>
      </c>
      <c r="G13" s="17">
        <v>46121.352083333331</v>
      </c>
      <c r="H13" s="17">
        <v>46117.252083333333</v>
      </c>
      <c r="I13" s="17">
        <v>46119</v>
      </c>
      <c r="J13" s="17" t="s">
        <v>36</v>
      </c>
      <c r="K13" s="16" t="s">
        <v>17</v>
      </c>
      <c r="L13" s="16" t="s">
        <v>17</v>
      </c>
      <c r="M13" s="18" t="s">
        <v>31</v>
      </c>
      <c r="N13" s="3"/>
    </row>
    <row r="14" spans="1:16" ht="24.95" hidden="1" customHeight="1">
      <c r="A14" s="13" t="s">
        <v>47</v>
      </c>
      <c r="B14" s="13" t="s">
        <v>21</v>
      </c>
      <c r="C14" s="13" t="s">
        <v>42</v>
      </c>
      <c r="D14" s="14">
        <v>46093.46875</v>
      </c>
      <c r="E14" s="14">
        <v>46097.197916666657</v>
      </c>
      <c r="F14" s="14">
        <v>46097.197916666657</v>
      </c>
      <c r="G14" s="14">
        <v>46101.497916666667</v>
      </c>
      <c r="H14" s="14">
        <v>46097.364583333343</v>
      </c>
      <c r="I14" s="14">
        <v>46100</v>
      </c>
      <c r="J14" s="14" t="s">
        <v>28</v>
      </c>
      <c r="K14" s="13"/>
      <c r="L14" s="13" t="s">
        <v>17</v>
      </c>
      <c r="M14" s="15" t="s">
        <v>48</v>
      </c>
      <c r="N14" s="3"/>
    </row>
    <row r="15" spans="1:16" ht="24.95" hidden="1" customHeight="1">
      <c r="A15" s="16" t="s">
        <v>49</v>
      </c>
      <c r="B15" s="16" t="s">
        <v>14</v>
      </c>
      <c r="C15" s="16" t="s">
        <v>26</v>
      </c>
      <c r="D15" s="17">
        <v>46050.677083333343</v>
      </c>
      <c r="E15" s="17">
        <v>46051.76458333333</v>
      </c>
      <c r="F15" s="17">
        <v>46053.26458333333</v>
      </c>
      <c r="G15" s="17">
        <v>46053.76458333333</v>
      </c>
      <c r="H15" s="17">
        <v>46053.26458333333</v>
      </c>
      <c r="I15" s="17">
        <v>46053</v>
      </c>
      <c r="J15" s="17" t="s">
        <v>19</v>
      </c>
      <c r="K15" s="16" t="s">
        <v>17</v>
      </c>
      <c r="L15" s="16" t="s">
        <v>17</v>
      </c>
      <c r="M15" s="18" t="s">
        <v>38</v>
      </c>
      <c r="N15" s="3"/>
    </row>
    <row r="16" spans="1:16" ht="24.95" hidden="1" customHeight="1">
      <c r="A16" s="13" t="s">
        <v>50</v>
      </c>
      <c r="B16" s="13" t="s">
        <v>14</v>
      </c>
      <c r="C16" s="13" t="s">
        <v>30</v>
      </c>
      <c r="D16" s="14">
        <v>46077.614583333343</v>
      </c>
      <c r="E16" s="14">
        <v>46078.902083333327</v>
      </c>
      <c r="F16" s="14">
        <v>46080.902083333327</v>
      </c>
      <c r="G16" s="14">
        <v>46084.602083333331</v>
      </c>
      <c r="H16" s="14">
        <v>46080.902083333327</v>
      </c>
      <c r="I16" s="14">
        <v>46082</v>
      </c>
      <c r="J16" s="14" t="s">
        <v>36</v>
      </c>
      <c r="K16" s="13" t="s">
        <v>16</v>
      </c>
      <c r="L16" s="13" t="s">
        <v>17</v>
      </c>
      <c r="M16" s="15" t="s">
        <v>38</v>
      </c>
      <c r="N16" s="3"/>
    </row>
    <row r="17" spans="1:14" ht="24.95" hidden="1" customHeight="1">
      <c r="A17" s="16" t="s">
        <v>51</v>
      </c>
      <c r="B17" s="16" t="s">
        <v>21</v>
      </c>
      <c r="C17" s="16" t="s">
        <v>30</v>
      </c>
      <c r="D17" s="17">
        <v>46047.489583333343</v>
      </c>
      <c r="E17" s="17">
        <v>46050.152083333327</v>
      </c>
      <c r="F17" s="17">
        <v>46051.152083333327</v>
      </c>
      <c r="G17" s="17">
        <v>46056.352083333331</v>
      </c>
      <c r="H17" s="17">
        <v>46051.318749999999</v>
      </c>
      <c r="I17" s="17">
        <v>46056</v>
      </c>
      <c r="J17" s="17" t="s">
        <v>28</v>
      </c>
      <c r="K17" s="16" t="s">
        <v>17</v>
      </c>
      <c r="L17" s="16" t="s">
        <v>17</v>
      </c>
      <c r="M17" s="18" t="s">
        <v>27</v>
      </c>
      <c r="N17" s="3"/>
    </row>
    <row r="18" spans="1:14" ht="24.95" hidden="1" customHeight="1">
      <c r="A18" s="13" t="s">
        <v>52</v>
      </c>
      <c r="B18" s="13" t="s">
        <v>21</v>
      </c>
      <c r="C18" s="13" t="s">
        <v>15</v>
      </c>
      <c r="D18" s="14">
        <v>46029.666666666657</v>
      </c>
      <c r="E18" s="14">
        <v>46034.012499999997</v>
      </c>
      <c r="F18" s="14">
        <v>46034.179166666669</v>
      </c>
      <c r="G18" s="14">
        <v>46037.479166666657</v>
      </c>
      <c r="H18" s="14">
        <v>46036.354166666657</v>
      </c>
      <c r="I18" s="14">
        <v>46035</v>
      </c>
      <c r="J18" s="14" t="s">
        <v>19</v>
      </c>
      <c r="K18" s="13" t="s">
        <v>17</v>
      </c>
      <c r="L18" s="13" t="s">
        <v>16</v>
      </c>
      <c r="M18" s="15" t="s">
        <v>31</v>
      </c>
      <c r="N18" s="3"/>
    </row>
    <row r="19" spans="1:14" ht="24.95" hidden="1" customHeight="1">
      <c r="A19" s="16" t="s">
        <v>53</v>
      </c>
      <c r="B19" s="16" t="s">
        <v>14</v>
      </c>
      <c r="C19" s="16" t="s">
        <v>30</v>
      </c>
      <c r="D19" s="17">
        <v>46072.53125</v>
      </c>
      <c r="E19" s="17">
        <v>46073.618750000001</v>
      </c>
      <c r="F19" s="17">
        <v>46075.618750000001</v>
      </c>
      <c r="G19" s="17">
        <v>46082.818749999999</v>
      </c>
      <c r="H19" s="17"/>
      <c r="I19" s="17"/>
      <c r="J19" s="17" t="s">
        <v>54</v>
      </c>
      <c r="K19" s="16" t="s">
        <v>17</v>
      </c>
      <c r="L19" s="16" t="s">
        <v>17</v>
      </c>
      <c r="M19" s="18" t="s">
        <v>18</v>
      </c>
      <c r="N19" s="3"/>
    </row>
    <row r="20" spans="1:14" ht="24.95" hidden="1" customHeight="1">
      <c r="A20" s="13" t="s">
        <v>55</v>
      </c>
      <c r="B20" s="13" t="s">
        <v>21</v>
      </c>
      <c r="C20" s="13" t="s">
        <v>30</v>
      </c>
      <c r="D20" s="14">
        <v>46030.708333333343</v>
      </c>
      <c r="E20" s="14">
        <v>46032.995833333327</v>
      </c>
      <c r="F20" s="14">
        <v>46034.495833333327</v>
      </c>
      <c r="G20" s="14">
        <v>46037.995833333327</v>
      </c>
      <c r="H20" s="14">
        <v>46036.4375</v>
      </c>
      <c r="I20" s="14">
        <v>46036</v>
      </c>
      <c r="J20" s="14" t="s">
        <v>19</v>
      </c>
      <c r="K20" s="13" t="s">
        <v>17</v>
      </c>
      <c r="L20" s="13" t="s">
        <v>17</v>
      </c>
      <c r="M20" s="15" t="s">
        <v>27</v>
      </c>
      <c r="N20" s="3"/>
    </row>
    <row r="21" spans="1:14" ht="24.95" hidden="1" customHeight="1">
      <c r="A21" s="16" t="s">
        <v>56</v>
      </c>
      <c r="B21" s="16" t="s">
        <v>14</v>
      </c>
      <c r="C21" s="16" t="s">
        <v>42</v>
      </c>
      <c r="D21" s="17">
        <v>46031.708333333343</v>
      </c>
      <c r="E21" s="17">
        <v>46032.800000000003</v>
      </c>
      <c r="F21" s="17">
        <v>46033</v>
      </c>
      <c r="G21" s="17">
        <v>46035.7</v>
      </c>
      <c r="H21" s="17">
        <v>46033.166666666657</v>
      </c>
      <c r="I21" s="17">
        <v>46034</v>
      </c>
      <c r="J21" s="17" t="s">
        <v>19</v>
      </c>
      <c r="K21" s="16" t="s">
        <v>17</v>
      </c>
      <c r="L21" s="16" t="s">
        <v>17</v>
      </c>
      <c r="M21" s="18" t="s">
        <v>38</v>
      </c>
      <c r="N21" s="3"/>
    </row>
    <row r="22" spans="1:14" ht="24.95" hidden="1" customHeight="1">
      <c r="A22" s="13" t="s">
        <v>57</v>
      </c>
      <c r="B22" s="13" t="s">
        <v>14</v>
      </c>
      <c r="C22" s="13" t="s">
        <v>26</v>
      </c>
      <c r="D22" s="14">
        <v>46095.6875</v>
      </c>
      <c r="E22" s="14">
        <v>46097.116666666669</v>
      </c>
      <c r="F22" s="14">
        <v>46099.116666666669</v>
      </c>
      <c r="G22" s="14">
        <v>46102.816666666673</v>
      </c>
      <c r="H22" s="14">
        <v>46100.4375</v>
      </c>
      <c r="I22" s="14">
        <v>46101</v>
      </c>
      <c r="J22" s="14" t="s">
        <v>28</v>
      </c>
      <c r="K22" s="13" t="s">
        <v>17</v>
      </c>
      <c r="L22" s="13" t="s">
        <v>16</v>
      </c>
      <c r="M22" s="15" t="s">
        <v>44</v>
      </c>
      <c r="N22" s="3"/>
    </row>
    <row r="23" spans="1:14" ht="24.95" hidden="1" customHeight="1">
      <c r="A23" s="16" t="s">
        <v>58</v>
      </c>
      <c r="B23" s="16" t="s">
        <v>21</v>
      </c>
      <c r="C23" s="16" t="s">
        <v>26</v>
      </c>
      <c r="D23" s="17">
        <v>46141.375</v>
      </c>
      <c r="E23" s="17">
        <v>46141.708333333343</v>
      </c>
      <c r="F23" s="17">
        <v>46141.708333333343</v>
      </c>
      <c r="G23" s="17">
        <v>46151.808333333327</v>
      </c>
      <c r="H23" s="17">
        <v>46142.375</v>
      </c>
      <c r="I23" s="17">
        <v>46151</v>
      </c>
      <c r="J23" s="17" t="s">
        <v>39</v>
      </c>
      <c r="K23" s="16" t="s">
        <v>17</v>
      </c>
      <c r="L23" s="16" t="s">
        <v>17</v>
      </c>
      <c r="M23" s="18" t="s">
        <v>48</v>
      </c>
      <c r="N23" s="3"/>
    </row>
    <row r="24" spans="1:14" ht="24.95" customHeight="1" thickBot="1">
      <c r="A24" s="13" t="s">
        <v>59</v>
      </c>
      <c r="B24" s="13"/>
      <c r="C24" s="13" t="s">
        <v>26</v>
      </c>
      <c r="D24" s="14">
        <v>46059.447916666657</v>
      </c>
      <c r="E24" s="14">
        <v>46062.456250000003</v>
      </c>
      <c r="F24" s="14">
        <v>46063.956250000003</v>
      </c>
      <c r="G24" s="14">
        <v>46065.456250000003</v>
      </c>
      <c r="H24" s="14">
        <v>46064.354166666657</v>
      </c>
      <c r="I24" s="14">
        <v>46064</v>
      </c>
      <c r="J24" s="14" t="s">
        <v>19</v>
      </c>
      <c r="K24" s="13" t="s">
        <v>17</v>
      </c>
      <c r="L24" s="13" t="s">
        <v>17</v>
      </c>
      <c r="M24" s="15" t="s">
        <v>27</v>
      </c>
      <c r="N24" s="3"/>
    </row>
    <row r="25" spans="1:14" ht="24.95" hidden="1" customHeight="1">
      <c r="A25" s="16" t="s">
        <v>60</v>
      </c>
      <c r="B25" s="16" t="s">
        <v>21</v>
      </c>
      <c r="C25" s="16" t="s">
        <v>26</v>
      </c>
      <c r="D25" s="17">
        <v>46142.385416666657</v>
      </c>
      <c r="E25" s="17">
        <v>46144.502083333333</v>
      </c>
      <c r="F25" s="17">
        <v>46146.502083333333</v>
      </c>
      <c r="G25" s="17">
        <v>46154.902083333327</v>
      </c>
      <c r="H25" s="17">
        <v>46146.502083333333</v>
      </c>
      <c r="I25" s="17">
        <v>46153</v>
      </c>
      <c r="J25" s="17" t="s">
        <v>24</v>
      </c>
      <c r="K25" s="16" t="s">
        <v>17</v>
      </c>
      <c r="L25" s="16" t="s">
        <v>17</v>
      </c>
      <c r="M25" s="18" t="s">
        <v>48</v>
      </c>
      <c r="N25" s="3"/>
    </row>
    <row r="26" spans="1:14" ht="24.95" hidden="1" customHeight="1">
      <c r="A26" s="13" t="s">
        <v>61</v>
      </c>
      <c r="B26" s="13" t="s">
        <v>21</v>
      </c>
      <c r="C26" s="13" t="s">
        <v>22</v>
      </c>
      <c r="D26" s="14">
        <v>46104.53125</v>
      </c>
      <c r="E26" s="14">
        <v>46106.810416666667</v>
      </c>
      <c r="F26" s="14">
        <v>46106.810416666667</v>
      </c>
      <c r="G26" s="14">
        <v>46115.410416666673</v>
      </c>
      <c r="H26" s="14">
        <v>46106.977083333331</v>
      </c>
      <c r="I26" s="14">
        <v>46114</v>
      </c>
      <c r="J26" s="14" t="s">
        <v>36</v>
      </c>
      <c r="K26" s="13" t="s">
        <v>17</v>
      </c>
      <c r="L26" s="13" t="s">
        <v>17</v>
      </c>
      <c r="M26" s="15" t="s">
        <v>35</v>
      </c>
      <c r="N26" s="3"/>
    </row>
    <row r="27" spans="1:14" ht="24.95" hidden="1" customHeight="1">
      <c r="A27" s="16" t="s">
        <v>62</v>
      </c>
      <c r="B27" s="16" t="s">
        <v>14</v>
      </c>
      <c r="C27" s="16" t="s">
        <v>22</v>
      </c>
      <c r="D27" s="17">
        <v>46043.65625</v>
      </c>
      <c r="E27" s="17">
        <v>46044.706250000003</v>
      </c>
      <c r="F27" s="17">
        <v>46046.706250000003</v>
      </c>
      <c r="G27" s="17">
        <v>46050.506249999999</v>
      </c>
      <c r="H27" s="17">
        <v>46046.706250000003</v>
      </c>
      <c r="I27" s="17">
        <v>46048</v>
      </c>
      <c r="J27" s="17" t="s">
        <v>28</v>
      </c>
      <c r="K27" s="16" t="s">
        <v>17</v>
      </c>
      <c r="L27" s="16" t="s">
        <v>17</v>
      </c>
      <c r="M27" s="18" t="s">
        <v>35</v>
      </c>
      <c r="N27" s="3"/>
    </row>
    <row r="28" spans="1:14" ht="24.95" hidden="1" customHeight="1">
      <c r="A28" s="13" t="s">
        <v>63</v>
      </c>
      <c r="B28" s="13" t="s">
        <v>21</v>
      </c>
      <c r="C28" s="13" t="s">
        <v>64</v>
      </c>
      <c r="D28" s="14">
        <v>46039.354166666657</v>
      </c>
      <c r="E28" s="14">
        <v>46040.237500000003</v>
      </c>
      <c r="F28" s="14">
        <v>46040.237500000003</v>
      </c>
      <c r="G28" s="14">
        <v>46047.9375</v>
      </c>
      <c r="H28" s="14">
        <v>46041.375</v>
      </c>
      <c r="I28" s="14">
        <v>46048</v>
      </c>
      <c r="J28" s="14" t="s">
        <v>36</v>
      </c>
      <c r="K28" s="13" t="s">
        <v>17</v>
      </c>
      <c r="L28" s="13" t="s">
        <v>17</v>
      </c>
      <c r="M28" s="15" t="s">
        <v>27</v>
      </c>
      <c r="N28" s="3"/>
    </row>
    <row r="29" spans="1:14" ht="24.95" hidden="1" customHeight="1">
      <c r="A29" s="16" t="s">
        <v>65</v>
      </c>
      <c r="B29" s="16" t="s">
        <v>14</v>
      </c>
      <c r="C29" s="16" t="s">
        <v>22</v>
      </c>
      <c r="D29" s="17">
        <v>46118.427083333343</v>
      </c>
      <c r="E29" s="17">
        <v>46120.272916666669</v>
      </c>
      <c r="F29" s="17">
        <v>46120.439583333333</v>
      </c>
      <c r="G29" s="17">
        <v>46120.939583333333</v>
      </c>
      <c r="H29" s="17">
        <v>46120.439583333333</v>
      </c>
      <c r="I29" s="17">
        <v>46121</v>
      </c>
      <c r="J29" s="17" t="s">
        <v>19</v>
      </c>
      <c r="K29" s="16"/>
      <c r="L29" s="16" t="s">
        <v>17</v>
      </c>
      <c r="M29" s="18" t="s">
        <v>23</v>
      </c>
      <c r="N29" s="3"/>
    </row>
    <row r="30" spans="1:14" ht="24.95" hidden="1" customHeight="1">
      <c r="A30" s="13" t="s">
        <v>66</v>
      </c>
      <c r="B30" s="13" t="s">
        <v>14</v>
      </c>
      <c r="C30" s="13" t="s">
        <v>42</v>
      </c>
      <c r="D30" s="14">
        <v>46126.479166666657</v>
      </c>
      <c r="E30" s="14">
        <v>46127.98333333333</v>
      </c>
      <c r="F30" s="14">
        <v>46128.98333333333</v>
      </c>
      <c r="G30" s="14">
        <v>46135.783333333333</v>
      </c>
      <c r="H30" s="14">
        <v>46128.98333333333</v>
      </c>
      <c r="I30" s="14">
        <v>46133</v>
      </c>
      <c r="J30" s="14" t="s">
        <v>39</v>
      </c>
      <c r="K30" s="13" t="s">
        <v>17</v>
      </c>
      <c r="L30" s="13" t="s">
        <v>17</v>
      </c>
      <c r="M30" s="15" t="s">
        <v>44</v>
      </c>
      <c r="N30" s="3"/>
    </row>
    <row r="31" spans="1:14" ht="24.95" hidden="1" customHeight="1">
      <c r="A31" s="16" t="s">
        <v>67</v>
      </c>
      <c r="B31" s="16" t="s">
        <v>14</v>
      </c>
      <c r="C31" s="16" t="s">
        <v>30</v>
      </c>
      <c r="D31" s="17">
        <v>46124.46875</v>
      </c>
      <c r="E31" s="17">
        <v>46125.90625</v>
      </c>
      <c r="F31" s="17">
        <v>46126.239583333343</v>
      </c>
      <c r="G31" s="17">
        <v>46130.63958333333</v>
      </c>
      <c r="H31" s="17">
        <v>46126.479166666657</v>
      </c>
      <c r="I31" s="17">
        <v>46128</v>
      </c>
      <c r="J31" s="17" t="s">
        <v>36</v>
      </c>
      <c r="K31" s="16" t="s">
        <v>16</v>
      </c>
      <c r="L31" s="16" t="s">
        <v>17</v>
      </c>
      <c r="M31" s="18" t="s">
        <v>27</v>
      </c>
      <c r="N31" s="3"/>
    </row>
    <row r="32" spans="1:14" ht="24.95" hidden="1" customHeight="1">
      <c r="A32" s="13" t="s">
        <v>68</v>
      </c>
      <c r="B32" s="13" t="s">
        <v>21</v>
      </c>
      <c r="C32" s="13" t="s">
        <v>64</v>
      </c>
      <c r="D32" s="14">
        <v>46109.6875</v>
      </c>
      <c r="E32" s="14">
        <v>46112.4</v>
      </c>
      <c r="F32" s="14">
        <v>46112.73333333333</v>
      </c>
      <c r="G32" s="14">
        <v>46116.533333333333</v>
      </c>
      <c r="H32" s="14">
        <v>46112.9</v>
      </c>
      <c r="I32" s="14">
        <v>46116</v>
      </c>
      <c r="J32" s="14" t="s">
        <v>33</v>
      </c>
      <c r="K32" s="13" t="s">
        <v>17</v>
      </c>
      <c r="L32" s="13" t="s">
        <v>17</v>
      </c>
      <c r="M32" s="15" t="s">
        <v>23</v>
      </c>
      <c r="N32" s="3"/>
    </row>
    <row r="33" spans="1:14" ht="24.95" hidden="1" customHeight="1">
      <c r="A33" s="16" t="s">
        <v>69</v>
      </c>
      <c r="B33" s="16" t="s">
        <v>14</v>
      </c>
      <c r="C33" s="16" t="s">
        <v>64</v>
      </c>
      <c r="D33" s="17">
        <v>46063.583333333343</v>
      </c>
      <c r="E33" s="17">
        <v>46065.770833333343</v>
      </c>
      <c r="F33" s="17">
        <v>46067.270833333343</v>
      </c>
      <c r="G33" s="17">
        <v>46071.67083333333</v>
      </c>
      <c r="H33" s="17">
        <v>46067.395833333343</v>
      </c>
      <c r="I33" s="17">
        <v>46070</v>
      </c>
      <c r="J33" s="17" t="s">
        <v>33</v>
      </c>
      <c r="K33" s="16" t="s">
        <v>17</v>
      </c>
      <c r="L33" s="16" t="s">
        <v>17</v>
      </c>
      <c r="M33" s="18" t="s">
        <v>48</v>
      </c>
      <c r="N33" s="3"/>
    </row>
    <row r="34" spans="1:14" ht="24.95" hidden="1" customHeight="1">
      <c r="A34" s="13" t="s">
        <v>70</v>
      </c>
      <c r="B34" s="13" t="s">
        <v>21</v>
      </c>
      <c r="C34" s="13" t="s">
        <v>26</v>
      </c>
      <c r="D34" s="14">
        <v>46078.395833333343</v>
      </c>
      <c r="E34" s="14">
        <v>46080.945833333331</v>
      </c>
      <c r="F34" s="14">
        <v>46082.445833333331</v>
      </c>
      <c r="G34" s="14">
        <v>46085.145833333343</v>
      </c>
      <c r="H34" s="14">
        <v>46082.445833333331</v>
      </c>
      <c r="I34" s="14">
        <v>46085</v>
      </c>
      <c r="J34" s="14" t="s">
        <v>19</v>
      </c>
      <c r="K34" s="13" t="s">
        <v>17</v>
      </c>
      <c r="L34" s="13"/>
      <c r="M34" s="15" t="s">
        <v>23</v>
      </c>
      <c r="N34" s="3"/>
    </row>
    <row r="35" spans="1:14" ht="24.95" hidden="1" customHeight="1">
      <c r="A35" s="16" t="s">
        <v>71</v>
      </c>
      <c r="B35" s="16" t="s">
        <v>21</v>
      </c>
      <c r="C35" s="16" t="s">
        <v>22</v>
      </c>
      <c r="D35" s="17">
        <v>46060.677083333343</v>
      </c>
      <c r="E35" s="17">
        <v>46064.606249999997</v>
      </c>
      <c r="F35" s="17">
        <v>46064.772916666669</v>
      </c>
      <c r="G35" s="17">
        <v>46065.272916666669</v>
      </c>
      <c r="H35" s="17">
        <v>46065.272916666669</v>
      </c>
      <c r="I35" s="17">
        <v>46065</v>
      </c>
      <c r="J35" s="17" t="s">
        <v>19</v>
      </c>
      <c r="K35" s="16" t="s">
        <v>17</v>
      </c>
      <c r="L35" s="16" t="s">
        <v>17</v>
      </c>
      <c r="M35" s="18" t="s">
        <v>27</v>
      </c>
      <c r="N35" s="3"/>
    </row>
    <row r="36" spans="1:14" ht="24.95" hidden="1" customHeight="1">
      <c r="A36" s="13" t="s">
        <v>72</v>
      </c>
      <c r="B36" s="13" t="s">
        <v>21</v>
      </c>
      <c r="C36" s="13" t="s">
        <v>15</v>
      </c>
      <c r="D36" s="14">
        <v>46061.510416666657</v>
      </c>
      <c r="E36" s="14">
        <v>46064.84375</v>
      </c>
      <c r="F36" s="14">
        <v>46065.84375</v>
      </c>
      <c r="G36" s="14">
        <v>46070.643750000003</v>
      </c>
      <c r="H36" s="14">
        <v>46066.010416666657</v>
      </c>
      <c r="I36" s="14">
        <v>46068</v>
      </c>
      <c r="J36" s="14" t="s">
        <v>33</v>
      </c>
      <c r="K36" s="13" t="s">
        <v>17</v>
      </c>
      <c r="L36" s="13" t="s">
        <v>17</v>
      </c>
      <c r="M36" s="15" t="s">
        <v>35</v>
      </c>
      <c r="N36" s="3"/>
    </row>
    <row r="37" spans="1:14" ht="24.95" hidden="1" customHeight="1">
      <c r="A37" s="16" t="s">
        <v>73</v>
      </c>
      <c r="B37" s="16" t="s">
        <v>14</v>
      </c>
      <c r="C37" s="16" t="s">
        <v>15</v>
      </c>
      <c r="D37" s="17">
        <v>46088.729166666657</v>
      </c>
      <c r="E37" s="17">
        <v>46089.466666666667</v>
      </c>
      <c r="F37" s="17">
        <v>46089.466666666667</v>
      </c>
      <c r="G37" s="17">
        <v>46095.066666666673</v>
      </c>
      <c r="H37" s="17">
        <v>46089.458333333343</v>
      </c>
      <c r="I37" s="17">
        <v>46094</v>
      </c>
      <c r="J37" s="17" t="s">
        <v>39</v>
      </c>
      <c r="K37" s="16" t="s">
        <v>17</v>
      </c>
      <c r="L37" s="16" t="s">
        <v>16</v>
      </c>
      <c r="M37" s="18" t="s">
        <v>48</v>
      </c>
      <c r="N37" s="3"/>
    </row>
    <row r="38" spans="1:14" ht="24.95" hidden="1" customHeight="1">
      <c r="A38" s="13" t="s">
        <v>74</v>
      </c>
      <c r="B38" s="13" t="s">
        <v>21</v>
      </c>
      <c r="C38" s="13" t="s">
        <v>64</v>
      </c>
      <c r="D38" s="14">
        <v>46101.40625</v>
      </c>
      <c r="E38" s="14">
        <v>46102.306250000001</v>
      </c>
      <c r="F38" s="14">
        <v>46103.306250000001</v>
      </c>
      <c r="G38" s="14">
        <v>46109.506249999999</v>
      </c>
      <c r="H38" s="14">
        <v>46103.306250000001</v>
      </c>
      <c r="I38" s="14">
        <v>46108</v>
      </c>
      <c r="J38" s="14" t="s">
        <v>36</v>
      </c>
      <c r="K38" s="13" t="s">
        <v>17</v>
      </c>
      <c r="L38" s="13" t="s">
        <v>17</v>
      </c>
      <c r="M38" s="15" t="s">
        <v>31</v>
      </c>
      <c r="N38" s="3"/>
    </row>
    <row r="39" spans="1:14" ht="24.95" hidden="1" customHeight="1">
      <c r="A39" s="16" t="s">
        <v>75</v>
      </c>
      <c r="B39" s="16" t="s">
        <v>21</v>
      </c>
      <c r="C39" s="16" t="s">
        <v>15</v>
      </c>
      <c r="D39" s="17">
        <v>46122.59375</v>
      </c>
      <c r="E39" s="17">
        <v>46124.097916666673</v>
      </c>
      <c r="F39" s="17">
        <v>46124.26458333333</v>
      </c>
      <c r="G39" s="17">
        <v>46129.464583333327</v>
      </c>
      <c r="H39" s="17">
        <v>46126.354166666657</v>
      </c>
      <c r="I39" s="17">
        <v>46130</v>
      </c>
      <c r="J39" s="17" t="s">
        <v>24</v>
      </c>
      <c r="K39" s="16" t="s">
        <v>17</v>
      </c>
      <c r="L39" s="16" t="s">
        <v>17</v>
      </c>
      <c r="M39" s="18" t="s">
        <v>35</v>
      </c>
      <c r="N39" s="3"/>
    </row>
    <row r="40" spans="1:14" ht="24.95" hidden="1" customHeight="1">
      <c r="A40" s="13" t="s">
        <v>76</v>
      </c>
      <c r="B40" s="13" t="s">
        <v>21</v>
      </c>
      <c r="C40" s="13" t="s">
        <v>64</v>
      </c>
      <c r="D40" s="14">
        <v>46108.6875</v>
      </c>
      <c r="E40" s="14">
        <v>46109.645833333343</v>
      </c>
      <c r="F40" s="14">
        <v>46110.645833333343</v>
      </c>
      <c r="G40" s="14">
        <v>46112.445833333331</v>
      </c>
      <c r="H40" s="14">
        <v>46110.8125</v>
      </c>
      <c r="I40" s="14">
        <v>46111</v>
      </c>
      <c r="J40" s="14" t="s">
        <v>19</v>
      </c>
      <c r="K40" s="13" t="s">
        <v>17</v>
      </c>
      <c r="L40" s="13" t="s">
        <v>17</v>
      </c>
      <c r="M40" s="15" t="s">
        <v>44</v>
      </c>
      <c r="N40" s="3"/>
    </row>
    <row r="41" spans="1:14" ht="24.95" hidden="1" customHeight="1">
      <c r="A41" s="16" t="s">
        <v>77</v>
      </c>
      <c r="B41" s="16" t="s">
        <v>21</v>
      </c>
      <c r="C41" s="16" t="s">
        <v>64</v>
      </c>
      <c r="D41" s="17">
        <v>46056.479166666657</v>
      </c>
      <c r="E41" s="17">
        <v>46057.820833333331</v>
      </c>
      <c r="F41" s="17">
        <v>46059.320833333331</v>
      </c>
      <c r="G41" s="17">
        <v>46062.020833333343</v>
      </c>
      <c r="H41" s="17">
        <v>46060.375</v>
      </c>
      <c r="I41" s="17">
        <v>46061</v>
      </c>
      <c r="J41" s="17" t="s">
        <v>19</v>
      </c>
      <c r="K41" s="16" t="s">
        <v>17</v>
      </c>
      <c r="L41" s="16" t="s">
        <v>17</v>
      </c>
      <c r="M41" s="18" t="s">
        <v>27</v>
      </c>
      <c r="N41" s="3"/>
    </row>
    <row r="42" spans="1:14" ht="24.95" hidden="1" customHeight="1">
      <c r="A42" s="13" t="s">
        <v>78</v>
      </c>
      <c r="B42" s="13" t="s">
        <v>21</v>
      </c>
      <c r="C42" s="13" t="s">
        <v>15</v>
      </c>
      <c r="D42" s="14">
        <v>46040.427083333343</v>
      </c>
      <c r="E42" s="14">
        <v>46042.785416666673</v>
      </c>
      <c r="F42" s="14">
        <v>46043.785416666673</v>
      </c>
      <c r="G42" s="14">
        <v>46051.98541666667</v>
      </c>
      <c r="H42" s="14">
        <v>46043.785416666673</v>
      </c>
      <c r="I42" s="14">
        <v>46050</v>
      </c>
      <c r="J42" s="14" t="s">
        <v>36</v>
      </c>
      <c r="K42" s="13" t="s">
        <v>17</v>
      </c>
      <c r="L42" s="13" t="s">
        <v>17</v>
      </c>
      <c r="M42" s="15" t="s">
        <v>23</v>
      </c>
      <c r="N42" s="3"/>
    </row>
    <row r="43" spans="1:14" ht="24.95" hidden="1" customHeight="1">
      <c r="A43" s="16" t="s">
        <v>79</v>
      </c>
      <c r="B43" s="16" t="s">
        <v>21</v>
      </c>
      <c r="C43" s="16" t="s">
        <v>64</v>
      </c>
      <c r="D43" s="17">
        <v>46138.708333333343</v>
      </c>
      <c r="E43" s="17">
        <v>46139.654166666667</v>
      </c>
      <c r="F43" s="17">
        <v>46141.154166666667</v>
      </c>
      <c r="G43" s="17">
        <v>46145.154166666667</v>
      </c>
      <c r="H43" s="17">
        <v>46143.479166666657</v>
      </c>
      <c r="I43" s="17">
        <v>46145</v>
      </c>
      <c r="J43" s="17" t="s">
        <v>33</v>
      </c>
      <c r="K43" s="16" t="s">
        <v>17</v>
      </c>
      <c r="L43" s="16" t="s">
        <v>17</v>
      </c>
      <c r="M43" s="18" t="s">
        <v>23</v>
      </c>
      <c r="N43" s="3"/>
    </row>
    <row r="44" spans="1:14" ht="24.95" hidden="1" customHeight="1">
      <c r="A44" s="13" t="s">
        <v>80</v>
      </c>
      <c r="B44" s="13" t="s">
        <v>21</v>
      </c>
      <c r="C44" s="13" t="s">
        <v>42</v>
      </c>
      <c r="D44" s="14">
        <v>46118.677083333343</v>
      </c>
      <c r="E44" s="14">
        <v>46121.035416666673</v>
      </c>
      <c r="F44" s="14">
        <v>46122.035416666673</v>
      </c>
      <c r="G44" s="14">
        <v>46131.335416666669</v>
      </c>
      <c r="H44" s="14">
        <v>46123.333333333343</v>
      </c>
      <c r="I44" s="14">
        <v>46131</v>
      </c>
      <c r="J44" s="14" t="s">
        <v>36</v>
      </c>
      <c r="K44" s="13" t="s">
        <v>17</v>
      </c>
      <c r="L44" s="13" t="s">
        <v>17</v>
      </c>
      <c r="M44" s="15" t="s">
        <v>44</v>
      </c>
      <c r="N44" s="3"/>
    </row>
    <row r="45" spans="1:14" ht="24.95" hidden="1" customHeight="1">
      <c r="A45" s="16" t="s">
        <v>81</v>
      </c>
      <c r="B45" s="16" t="s">
        <v>14</v>
      </c>
      <c r="C45" s="16" t="s">
        <v>22</v>
      </c>
      <c r="D45" s="17">
        <v>46091.364583333343</v>
      </c>
      <c r="E45" s="17">
        <v>46092.943749999999</v>
      </c>
      <c r="F45" s="17">
        <v>46094.443749999999</v>
      </c>
      <c r="G45" s="17">
        <v>46098.243750000001</v>
      </c>
      <c r="H45" s="17">
        <v>46096.333333333343</v>
      </c>
      <c r="I45" s="17">
        <v>46097</v>
      </c>
      <c r="J45" s="17" t="s">
        <v>33</v>
      </c>
      <c r="K45" s="16" t="s">
        <v>16</v>
      </c>
      <c r="L45" s="16" t="s">
        <v>17</v>
      </c>
      <c r="M45" s="18" t="s">
        <v>23</v>
      </c>
      <c r="N45" s="3"/>
    </row>
    <row r="46" spans="1:14" ht="24.95" hidden="1" customHeight="1">
      <c r="A46" s="13" t="s">
        <v>82</v>
      </c>
      <c r="B46" s="13" t="s">
        <v>21</v>
      </c>
      <c r="C46" s="13" t="s">
        <v>26</v>
      </c>
      <c r="D46" s="14">
        <v>46050.645833333343</v>
      </c>
      <c r="E46" s="14">
        <v>46052.854166666657</v>
      </c>
      <c r="F46" s="14">
        <v>46053.1875</v>
      </c>
      <c r="G46" s="14">
        <v>46057.487500000003</v>
      </c>
      <c r="H46" s="14">
        <v>46055.46875</v>
      </c>
      <c r="I46" s="14">
        <v>46057</v>
      </c>
      <c r="J46" s="14" t="s">
        <v>28</v>
      </c>
      <c r="K46" s="13" t="s">
        <v>17</v>
      </c>
      <c r="L46" s="13" t="s">
        <v>17</v>
      </c>
      <c r="M46" s="15" t="s">
        <v>83</v>
      </c>
      <c r="N46" s="3"/>
    </row>
    <row r="47" spans="1:14" ht="24.95" hidden="1" customHeight="1">
      <c r="A47" s="16" t="s">
        <v>84</v>
      </c>
      <c r="B47" s="16" t="s">
        <v>21</v>
      </c>
      <c r="C47" s="16" t="s">
        <v>22</v>
      </c>
      <c r="D47" s="17">
        <v>46092.354166666657</v>
      </c>
      <c r="E47" s="17">
        <v>46093.754166666673</v>
      </c>
      <c r="F47" s="17">
        <v>46093.92083333333</v>
      </c>
      <c r="G47" s="17">
        <v>46096.120833333327</v>
      </c>
      <c r="H47" s="17">
        <v>46094.458333333343</v>
      </c>
      <c r="I47" s="17">
        <v>46096</v>
      </c>
      <c r="J47" s="17" t="s">
        <v>19</v>
      </c>
      <c r="K47" s="16" t="s">
        <v>17</v>
      </c>
      <c r="L47" s="16" t="s">
        <v>17</v>
      </c>
      <c r="M47" s="18" t="s">
        <v>31</v>
      </c>
      <c r="N47" s="3"/>
    </row>
    <row r="48" spans="1:14" ht="24.95" hidden="1" customHeight="1">
      <c r="A48" s="13" t="s">
        <v>85</v>
      </c>
      <c r="B48" s="13" t="s">
        <v>21</v>
      </c>
      <c r="C48" s="13" t="s">
        <v>42</v>
      </c>
      <c r="D48" s="14">
        <v>46042.46875</v>
      </c>
      <c r="E48" s="14">
        <v>46043.464583333327</v>
      </c>
      <c r="F48" s="14">
        <v>46044.464583333327</v>
      </c>
      <c r="G48" s="14">
        <v>46047.464583333327</v>
      </c>
      <c r="H48" s="14">
        <v>46047.354166666657</v>
      </c>
      <c r="I48" s="14">
        <v>46046</v>
      </c>
      <c r="J48" s="14" t="s">
        <v>19</v>
      </c>
      <c r="K48" s="13" t="s">
        <v>17</v>
      </c>
      <c r="L48" s="13" t="s">
        <v>17</v>
      </c>
      <c r="M48" s="15" t="s">
        <v>86</v>
      </c>
      <c r="N48" s="3"/>
    </row>
    <row r="49" spans="1:14" ht="24.95" hidden="1" customHeight="1">
      <c r="A49" s="16" t="s">
        <v>87</v>
      </c>
      <c r="B49" s="16" t="s">
        <v>21</v>
      </c>
      <c r="C49" s="16" t="s">
        <v>22</v>
      </c>
      <c r="D49" s="17">
        <v>46114.385416666657</v>
      </c>
      <c r="E49" s="17">
        <v>46115.643750000003</v>
      </c>
      <c r="F49" s="17">
        <v>46115.977083333331</v>
      </c>
      <c r="G49" s="17">
        <v>46120.57708333333</v>
      </c>
      <c r="H49" s="17">
        <v>46116.375</v>
      </c>
      <c r="I49" s="17">
        <v>46121</v>
      </c>
      <c r="J49" s="17" t="s">
        <v>33</v>
      </c>
      <c r="K49" s="16" t="s">
        <v>17</v>
      </c>
      <c r="L49" s="16" t="s">
        <v>17</v>
      </c>
      <c r="M49" s="18" t="s">
        <v>48</v>
      </c>
      <c r="N49" s="3"/>
    </row>
    <row r="50" spans="1:14" ht="24.95" hidden="1" customHeight="1">
      <c r="A50" s="13" t="s">
        <v>88</v>
      </c>
      <c r="B50" s="13" t="s">
        <v>21</v>
      </c>
      <c r="C50" s="13" t="s">
        <v>15</v>
      </c>
      <c r="D50" s="14">
        <v>46098.458333333343</v>
      </c>
      <c r="E50" s="14">
        <v>46100.883333333331</v>
      </c>
      <c r="F50" s="14">
        <v>46102.883333333331</v>
      </c>
      <c r="G50" s="14">
        <v>46107.583333333343</v>
      </c>
      <c r="H50" s="14">
        <v>46103.385416666657</v>
      </c>
      <c r="I50" s="14">
        <v>46107</v>
      </c>
      <c r="J50" s="14" t="s">
        <v>24</v>
      </c>
      <c r="K50" s="13" t="s">
        <v>16</v>
      </c>
      <c r="L50" s="13" t="s">
        <v>17</v>
      </c>
      <c r="M50" s="15" t="s">
        <v>89</v>
      </c>
      <c r="N50" s="3"/>
    </row>
    <row r="51" spans="1:14" ht="24.95" hidden="1" customHeight="1">
      <c r="A51" s="16" t="s">
        <v>90</v>
      </c>
      <c r="B51" s="16" t="s">
        <v>21</v>
      </c>
      <c r="C51" s="16" t="s">
        <v>42</v>
      </c>
      <c r="D51" s="17">
        <v>46077.541666666657</v>
      </c>
      <c r="E51" s="17">
        <v>46078.066666666673</v>
      </c>
      <c r="F51" s="17">
        <v>46079.566666666673</v>
      </c>
      <c r="G51" s="17">
        <v>46083.566666666673</v>
      </c>
      <c r="H51" s="17">
        <v>46080.354166666657</v>
      </c>
      <c r="I51" s="17">
        <v>46083</v>
      </c>
      <c r="J51" s="17" t="s">
        <v>36</v>
      </c>
      <c r="K51" s="16" t="s">
        <v>17</v>
      </c>
      <c r="L51" s="16" t="s">
        <v>17</v>
      </c>
      <c r="M51" s="18" t="s">
        <v>44</v>
      </c>
      <c r="N51" s="3"/>
    </row>
    <row r="52" spans="1:14" ht="24.95" hidden="1" customHeight="1">
      <c r="A52" s="13" t="s">
        <v>91</v>
      </c>
      <c r="B52" s="13" t="s">
        <v>21</v>
      </c>
      <c r="C52" s="13" t="s">
        <v>22</v>
      </c>
      <c r="D52" s="14">
        <v>46042.59375</v>
      </c>
      <c r="E52" s="14">
        <v>46044.768750000003</v>
      </c>
      <c r="F52" s="14">
        <v>46046.768750000003</v>
      </c>
      <c r="G52" s="14">
        <v>46048.068749999999</v>
      </c>
      <c r="H52" s="14">
        <v>46046.935416666667</v>
      </c>
      <c r="I52" s="14">
        <v>46048</v>
      </c>
      <c r="J52" s="14" t="s">
        <v>19</v>
      </c>
      <c r="K52" s="13" t="s">
        <v>17</v>
      </c>
      <c r="L52" s="13" t="s">
        <v>17</v>
      </c>
      <c r="M52" s="15" t="s">
        <v>86</v>
      </c>
      <c r="N52" s="3"/>
    </row>
    <row r="53" spans="1:14" ht="24.95" hidden="1" customHeight="1">
      <c r="A53" s="16" t="s">
        <v>92</v>
      </c>
      <c r="B53" s="16" t="s">
        <v>21</v>
      </c>
      <c r="C53" s="16" t="s">
        <v>26</v>
      </c>
      <c r="D53" s="17">
        <v>46064.458333333343</v>
      </c>
      <c r="E53" s="17">
        <v>46066.570833333331</v>
      </c>
      <c r="F53" s="17">
        <v>46066.904166666667</v>
      </c>
      <c r="G53" s="17">
        <v>46072.20416666667</v>
      </c>
      <c r="H53" s="17">
        <v>46067.385416666657</v>
      </c>
      <c r="I53" s="17">
        <v>46071</v>
      </c>
      <c r="J53" s="17" t="s">
        <v>33</v>
      </c>
      <c r="K53" s="16" t="s">
        <v>17</v>
      </c>
      <c r="L53" s="16" t="s">
        <v>17</v>
      </c>
      <c r="M53" s="18" t="s">
        <v>89</v>
      </c>
      <c r="N53" s="3"/>
    </row>
    <row r="54" spans="1:14" ht="24.95" hidden="1" customHeight="1">
      <c r="A54" s="13" t="s">
        <v>93</v>
      </c>
      <c r="B54" s="13" t="s">
        <v>21</v>
      </c>
      <c r="C54" s="13" t="s">
        <v>30</v>
      </c>
      <c r="D54" s="14">
        <v>46085.479166666657</v>
      </c>
      <c r="E54" s="14">
        <v>46087.308333333327</v>
      </c>
      <c r="F54" s="14">
        <v>46087.64166666667</v>
      </c>
      <c r="G54" s="14">
        <v>46089.64166666667</v>
      </c>
      <c r="H54" s="14">
        <v>46087.808333333327</v>
      </c>
      <c r="I54" s="14">
        <v>46089</v>
      </c>
      <c r="J54" s="14" t="s">
        <v>19</v>
      </c>
      <c r="K54" s="13" t="s">
        <v>17</v>
      </c>
      <c r="L54" s="13" t="s">
        <v>16</v>
      </c>
      <c r="M54" s="15" t="s">
        <v>38</v>
      </c>
      <c r="N54" s="3"/>
    </row>
    <row r="55" spans="1:14" ht="24.95" hidden="1" customHeight="1">
      <c r="A55" s="16" t="s">
        <v>94</v>
      </c>
      <c r="B55" s="16" t="s">
        <v>14</v>
      </c>
      <c r="C55" s="16" t="s">
        <v>64</v>
      </c>
      <c r="D55" s="17">
        <v>46085.677083333343</v>
      </c>
      <c r="E55" s="17">
        <v>46087.502083333333</v>
      </c>
      <c r="F55" s="17">
        <v>46089.502083333333</v>
      </c>
      <c r="G55" s="17">
        <v>46090.602083333331</v>
      </c>
      <c r="H55" s="17">
        <v>46090.333333333343</v>
      </c>
      <c r="I55" s="17">
        <v>46089</v>
      </c>
      <c r="J55" s="17" t="s">
        <v>19</v>
      </c>
      <c r="K55" s="16" t="s">
        <v>16</v>
      </c>
      <c r="L55" s="16" t="s">
        <v>17</v>
      </c>
      <c r="M55" s="18" t="s">
        <v>48</v>
      </c>
      <c r="N55" s="3"/>
    </row>
    <row r="56" spans="1:14" ht="24.95" hidden="1" customHeight="1">
      <c r="A56" s="13" t="s">
        <v>95</v>
      </c>
      <c r="B56" s="13" t="s">
        <v>14</v>
      </c>
      <c r="C56" s="13" t="s">
        <v>26</v>
      </c>
      <c r="D56" s="14">
        <v>46070.645833333343</v>
      </c>
      <c r="E56" s="14">
        <v>46071.9375</v>
      </c>
      <c r="F56" s="14">
        <v>46072.9375</v>
      </c>
      <c r="G56" s="14">
        <v>46079.637499999997</v>
      </c>
      <c r="H56" s="14">
        <v>46073.385416666657</v>
      </c>
      <c r="I56" s="14">
        <v>46078</v>
      </c>
      <c r="J56" s="14" t="s">
        <v>24</v>
      </c>
      <c r="K56" s="13" t="s">
        <v>17</v>
      </c>
      <c r="L56" s="13" t="s">
        <v>17</v>
      </c>
      <c r="M56" s="15" t="s">
        <v>48</v>
      </c>
      <c r="N56" s="3"/>
    </row>
    <row r="57" spans="1:14" ht="24.95" hidden="1" customHeight="1">
      <c r="A57" s="16" t="s">
        <v>96</v>
      </c>
      <c r="B57" s="16" t="s">
        <v>21</v>
      </c>
      <c r="C57" s="16" t="s">
        <v>26</v>
      </c>
      <c r="D57" s="17">
        <v>46038.677083333343</v>
      </c>
      <c r="E57" s="17">
        <v>46040.943749999999</v>
      </c>
      <c r="F57" s="17">
        <v>46041.11041666667</v>
      </c>
      <c r="G57" s="17">
        <v>46045.810416666667</v>
      </c>
      <c r="H57" s="17">
        <v>46041.11041666667</v>
      </c>
      <c r="I57" s="17">
        <v>46046</v>
      </c>
      <c r="J57" s="17" t="s">
        <v>28</v>
      </c>
      <c r="K57" s="16" t="s">
        <v>17</v>
      </c>
      <c r="L57" s="16" t="s">
        <v>17</v>
      </c>
      <c r="M57" s="18" t="s">
        <v>38</v>
      </c>
      <c r="N57" s="3"/>
    </row>
    <row r="58" spans="1:14" ht="24.95" hidden="1" customHeight="1">
      <c r="A58" s="13" t="s">
        <v>97</v>
      </c>
      <c r="B58" s="13" t="s">
        <v>21</v>
      </c>
      <c r="C58" s="13" t="s">
        <v>30</v>
      </c>
      <c r="D58" s="14">
        <v>46060.479166666657</v>
      </c>
      <c r="E58" s="14">
        <v>46063.804166666669</v>
      </c>
      <c r="F58" s="14">
        <v>46063.970833333333</v>
      </c>
      <c r="G58" s="14">
        <v>46067.17083333333</v>
      </c>
      <c r="H58" s="14">
        <v>46066.354166666657</v>
      </c>
      <c r="I58" s="14">
        <v>46068</v>
      </c>
      <c r="J58" s="14" t="s">
        <v>19</v>
      </c>
      <c r="K58" s="13" t="s">
        <v>16</v>
      </c>
      <c r="L58" s="13" t="s">
        <v>16</v>
      </c>
      <c r="M58" s="15" t="s">
        <v>35</v>
      </c>
      <c r="N58" s="3"/>
    </row>
    <row r="59" spans="1:14" ht="24.95" hidden="1" customHeight="1">
      <c r="A59" s="16" t="s">
        <v>98</v>
      </c>
      <c r="B59" s="16" t="s">
        <v>14</v>
      </c>
      <c r="C59" s="16" t="s">
        <v>42</v>
      </c>
      <c r="D59" s="17">
        <v>46085.375</v>
      </c>
      <c r="E59" s="17">
        <v>46087.10833333333</v>
      </c>
      <c r="F59" s="17">
        <v>46088.60833333333</v>
      </c>
      <c r="G59" s="17">
        <v>46092.308333333327</v>
      </c>
      <c r="H59" s="17">
        <v>46089.385416666657</v>
      </c>
      <c r="I59" s="17">
        <v>46091</v>
      </c>
      <c r="J59" s="17" t="s">
        <v>24</v>
      </c>
      <c r="K59" s="16" t="s">
        <v>17</v>
      </c>
      <c r="L59" s="16" t="s">
        <v>17</v>
      </c>
      <c r="M59" s="18" t="s">
        <v>38</v>
      </c>
      <c r="N59" s="3"/>
    </row>
    <row r="60" spans="1:14" ht="24.95" hidden="1" customHeight="1">
      <c r="A60" s="13" t="s">
        <v>99</v>
      </c>
      <c r="B60" s="13" t="s">
        <v>21</v>
      </c>
      <c r="C60" s="13" t="s">
        <v>15</v>
      </c>
      <c r="D60" s="14">
        <v>46074.625</v>
      </c>
      <c r="E60" s="14">
        <v>46077.9375</v>
      </c>
      <c r="F60" s="14">
        <v>46079.4375</v>
      </c>
      <c r="G60" s="14">
        <v>46083.137499999997</v>
      </c>
      <c r="H60" s="14">
        <v>46079.4375</v>
      </c>
      <c r="I60" s="14">
        <v>46083</v>
      </c>
      <c r="J60" s="14" t="s">
        <v>28</v>
      </c>
      <c r="K60" s="13" t="s">
        <v>17</v>
      </c>
      <c r="L60" s="13" t="s">
        <v>17</v>
      </c>
      <c r="M60" s="15" t="s">
        <v>38</v>
      </c>
      <c r="N60" s="3"/>
    </row>
    <row r="61" spans="1:14" ht="24.95" hidden="1" customHeight="1">
      <c r="A61" s="16" t="s">
        <v>100</v>
      </c>
      <c r="B61" s="16" t="s">
        <v>21</v>
      </c>
      <c r="C61" s="16" t="s">
        <v>42</v>
      </c>
      <c r="D61" s="17">
        <v>46120.59375</v>
      </c>
      <c r="E61" s="17">
        <v>46122.664583333331</v>
      </c>
      <c r="F61" s="17">
        <v>46124.164583333331</v>
      </c>
      <c r="G61" s="17">
        <v>46125.164583333331</v>
      </c>
      <c r="H61" s="17">
        <v>46124.164583333331</v>
      </c>
      <c r="I61" s="17">
        <v>46126</v>
      </c>
      <c r="J61" s="17" t="s">
        <v>19</v>
      </c>
      <c r="K61" s="16" t="s">
        <v>17</v>
      </c>
      <c r="L61" s="16" t="s">
        <v>17</v>
      </c>
      <c r="M61" s="18" t="s">
        <v>31</v>
      </c>
      <c r="N61" s="3"/>
    </row>
    <row r="62" spans="1:14" ht="24.95" hidden="1" customHeight="1">
      <c r="A62" s="13" t="s">
        <v>101</v>
      </c>
      <c r="B62" s="13" t="s">
        <v>21</v>
      </c>
      <c r="C62" s="13" t="s">
        <v>42</v>
      </c>
      <c r="D62" s="14">
        <v>46117.385416666657</v>
      </c>
      <c r="E62" s="14">
        <v>46121.04791666667</v>
      </c>
      <c r="F62" s="14">
        <v>46123.04791666667</v>
      </c>
      <c r="G62" s="14">
        <v>46127.947916666657</v>
      </c>
      <c r="H62" s="14">
        <v>46123.416666666657</v>
      </c>
      <c r="I62" s="14">
        <v>46127</v>
      </c>
      <c r="J62" s="14" t="s">
        <v>28</v>
      </c>
      <c r="K62" s="13" t="s">
        <v>16</v>
      </c>
      <c r="L62" s="13" t="s">
        <v>16</v>
      </c>
      <c r="M62" s="15" t="s">
        <v>44</v>
      </c>
      <c r="N62" s="3"/>
    </row>
    <row r="63" spans="1:14" ht="24.95" hidden="1" customHeight="1">
      <c r="A63" s="16" t="s">
        <v>102</v>
      </c>
      <c r="B63" s="16" t="s">
        <v>21</v>
      </c>
      <c r="C63" s="16" t="s">
        <v>22</v>
      </c>
      <c r="D63" s="17">
        <v>46099.645833333343</v>
      </c>
      <c r="E63" s="17">
        <v>46103.245833333327</v>
      </c>
      <c r="F63" s="17">
        <v>46103.245833333327</v>
      </c>
      <c r="G63" s="17">
        <v>46107.845833333333</v>
      </c>
      <c r="H63" s="17">
        <v>46103.245833333327</v>
      </c>
      <c r="I63" s="17">
        <v>46106</v>
      </c>
      <c r="J63" s="17" t="s">
        <v>39</v>
      </c>
      <c r="K63" s="16" t="s">
        <v>17</v>
      </c>
      <c r="L63" s="16" t="s">
        <v>17</v>
      </c>
      <c r="M63" s="18" t="s">
        <v>86</v>
      </c>
      <c r="N63" s="3"/>
    </row>
    <row r="64" spans="1:14" ht="24.95" hidden="1" customHeight="1">
      <c r="A64" s="13" t="s">
        <v>103</v>
      </c>
      <c r="B64" s="13" t="s">
        <v>21</v>
      </c>
      <c r="C64" s="13" t="s">
        <v>22</v>
      </c>
      <c r="D64" s="14">
        <v>46125.489583333343</v>
      </c>
      <c r="E64" s="14">
        <v>46129.206250000003</v>
      </c>
      <c r="F64" s="14">
        <v>46129.206250000003</v>
      </c>
      <c r="G64" s="14">
        <v>46130.606249999997</v>
      </c>
      <c r="H64" s="14">
        <v>46129.206250000003</v>
      </c>
      <c r="I64" s="14">
        <v>46129</v>
      </c>
      <c r="J64" s="14" t="s">
        <v>19</v>
      </c>
      <c r="K64" s="13" t="s">
        <v>17</v>
      </c>
      <c r="L64" s="13" t="s">
        <v>16</v>
      </c>
      <c r="M64" s="15" t="s">
        <v>18</v>
      </c>
      <c r="N64" s="3"/>
    </row>
    <row r="65" spans="1:14" ht="24.95" hidden="1" customHeight="1">
      <c r="A65" s="16" t="s">
        <v>104</v>
      </c>
      <c r="B65" s="16" t="s">
        <v>21</v>
      </c>
      <c r="C65" s="16" t="s">
        <v>42</v>
      </c>
      <c r="D65" s="17">
        <v>46118.729166666657</v>
      </c>
      <c r="E65" s="17">
        <v>46120.654166666667</v>
      </c>
      <c r="F65" s="17">
        <v>46121.654166666667</v>
      </c>
      <c r="G65" s="17">
        <v>46128.054166666669</v>
      </c>
      <c r="H65" s="17">
        <v>46122.479166666657</v>
      </c>
      <c r="I65" s="17">
        <v>46128</v>
      </c>
      <c r="J65" s="17" t="s">
        <v>33</v>
      </c>
      <c r="K65" s="16" t="s">
        <v>17</v>
      </c>
      <c r="L65" s="16" t="s">
        <v>17</v>
      </c>
      <c r="M65" s="18" t="s">
        <v>38</v>
      </c>
      <c r="N65" s="3"/>
    </row>
    <row r="66" spans="1:14" ht="24.95" hidden="1" customHeight="1">
      <c r="A66" s="13" t="s">
        <v>105</v>
      </c>
      <c r="B66" s="13" t="s">
        <v>14</v>
      </c>
      <c r="C66" s="13" t="s">
        <v>15</v>
      </c>
      <c r="D66" s="14">
        <v>46078.5625</v>
      </c>
      <c r="E66" s="14">
        <v>46080.15</v>
      </c>
      <c r="F66" s="14">
        <v>46080.15</v>
      </c>
      <c r="G66" s="14">
        <v>46088.65</v>
      </c>
      <c r="H66" s="14">
        <v>46080.395833333343</v>
      </c>
      <c r="I66" s="14">
        <v>46087</v>
      </c>
      <c r="J66" s="14" t="s">
        <v>39</v>
      </c>
      <c r="K66" s="13" t="s">
        <v>17</v>
      </c>
      <c r="L66" s="13" t="s">
        <v>17</v>
      </c>
      <c r="M66" s="15" t="s">
        <v>18</v>
      </c>
      <c r="N66" s="3"/>
    </row>
    <row r="67" spans="1:14" ht="24.95" hidden="1" customHeight="1">
      <c r="A67" s="16" t="s">
        <v>106</v>
      </c>
      <c r="B67" s="16" t="s">
        <v>21</v>
      </c>
      <c r="C67" s="16" t="s">
        <v>42</v>
      </c>
      <c r="D67" s="17">
        <v>46028.447916666657</v>
      </c>
      <c r="E67" s="17">
        <v>46032.010416666657</v>
      </c>
      <c r="F67" s="17">
        <v>46033.510416666657</v>
      </c>
      <c r="G67" s="17">
        <v>46035.11041666667</v>
      </c>
      <c r="H67" s="17">
        <v>46033.510416666657</v>
      </c>
      <c r="I67" s="17">
        <v>46035</v>
      </c>
      <c r="J67" s="17" t="s">
        <v>19</v>
      </c>
      <c r="K67" s="16" t="s">
        <v>17</v>
      </c>
      <c r="L67" s="16" t="s">
        <v>17</v>
      </c>
      <c r="M67" s="18" t="s">
        <v>38</v>
      </c>
      <c r="N67" s="3"/>
    </row>
    <row r="68" spans="1:14" ht="24.95" hidden="1" customHeight="1">
      <c r="A68" s="13" t="s">
        <v>107</v>
      </c>
      <c r="B68" s="13" t="s">
        <v>21</v>
      </c>
      <c r="C68" s="13" t="s">
        <v>64</v>
      </c>
      <c r="D68" s="14">
        <v>46067.604166666657</v>
      </c>
      <c r="E68" s="14">
        <v>46068.23333333333</v>
      </c>
      <c r="F68" s="14">
        <v>46068.566666666673</v>
      </c>
      <c r="G68" s="14">
        <v>46070.866666666669</v>
      </c>
      <c r="H68" s="14">
        <v>46068.73333333333</v>
      </c>
      <c r="I68" s="14">
        <v>46070</v>
      </c>
      <c r="J68" s="14" t="s">
        <v>19</v>
      </c>
      <c r="K68" s="13" t="s">
        <v>17</v>
      </c>
      <c r="L68" s="13" t="s">
        <v>17</v>
      </c>
      <c r="M68" s="15" t="s">
        <v>108</v>
      </c>
      <c r="N68" s="3"/>
    </row>
    <row r="69" spans="1:14" ht="24.95" hidden="1" customHeight="1">
      <c r="A69" s="16" t="s">
        <v>109</v>
      </c>
      <c r="B69" s="16" t="s">
        <v>21</v>
      </c>
      <c r="C69" s="16" t="s">
        <v>15</v>
      </c>
      <c r="D69" s="17">
        <v>46081.395833333343</v>
      </c>
      <c r="E69" s="17">
        <v>46082.1</v>
      </c>
      <c r="F69" s="17">
        <v>46082.433333333327</v>
      </c>
      <c r="G69" s="17">
        <v>46084.23333333333</v>
      </c>
      <c r="H69" s="17">
        <v>46082.433333333327</v>
      </c>
      <c r="I69" s="17">
        <v>46083</v>
      </c>
      <c r="J69" s="17" t="s">
        <v>19</v>
      </c>
      <c r="K69" s="16" t="s">
        <v>17</v>
      </c>
      <c r="L69" s="16" t="s">
        <v>17</v>
      </c>
      <c r="M69" s="18" t="s">
        <v>27</v>
      </c>
      <c r="N69" s="3"/>
    </row>
    <row r="70" spans="1:14" ht="24.95" hidden="1" customHeight="1">
      <c r="A70" s="13" t="s">
        <v>110</v>
      </c>
      <c r="B70" s="13" t="s">
        <v>21</v>
      </c>
      <c r="C70" s="13" t="s">
        <v>64</v>
      </c>
      <c r="D70" s="14">
        <v>46075.34375</v>
      </c>
      <c r="E70" s="14">
        <v>46079.810416666667</v>
      </c>
      <c r="F70" s="14">
        <v>46081.310416666667</v>
      </c>
      <c r="G70" s="14">
        <v>46083.310416666667</v>
      </c>
      <c r="H70" s="14">
        <v>46081.310416666667</v>
      </c>
      <c r="I70" s="14">
        <v>46082</v>
      </c>
      <c r="J70" s="14" t="s">
        <v>19</v>
      </c>
      <c r="K70" s="13" t="s">
        <v>17</v>
      </c>
      <c r="L70" s="13" t="s">
        <v>16</v>
      </c>
      <c r="M70" s="15" t="s">
        <v>18</v>
      </c>
      <c r="N70" s="3"/>
    </row>
    <row r="71" spans="1:14" ht="24.95" hidden="1" customHeight="1">
      <c r="A71" s="16" t="s">
        <v>111</v>
      </c>
      <c r="B71" s="16" t="s">
        <v>14</v>
      </c>
      <c r="C71" s="16" t="s">
        <v>42</v>
      </c>
      <c r="D71" s="17">
        <v>46085.375</v>
      </c>
      <c r="E71" s="17">
        <v>46087.037499999999</v>
      </c>
      <c r="F71" s="17">
        <v>46089.037499999999</v>
      </c>
      <c r="G71" s="17">
        <v>46092.137499999997</v>
      </c>
      <c r="H71" s="17">
        <v>46091.479166666657</v>
      </c>
      <c r="I71" s="17">
        <v>46090</v>
      </c>
      <c r="J71" s="17" t="s">
        <v>19</v>
      </c>
      <c r="K71" s="16" t="s">
        <v>17</v>
      </c>
      <c r="L71" s="16" t="s">
        <v>17</v>
      </c>
      <c r="M71" s="18" t="s">
        <v>38</v>
      </c>
      <c r="N71" s="3"/>
    </row>
    <row r="72" spans="1:14" ht="24.95" hidden="1" customHeight="1">
      <c r="A72" s="13" t="s">
        <v>112</v>
      </c>
      <c r="B72" s="13" t="s">
        <v>21</v>
      </c>
      <c r="C72" s="13" t="s">
        <v>64</v>
      </c>
      <c r="D72" s="14">
        <v>46038.447916666657</v>
      </c>
      <c r="E72" s="14">
        <v>46040.310416666667</v>
      </c>
      <c r="F72" s="14">
        <v>46042.310416666667</v>
      </c>
      <c r="G72" s="14">
        <v>46045.710416666669</v>
      </c>
      <c r="H72" s="14">
        <v>46045.375</v>
      </c>
      <c r="I72" s="14">
        <v>46045</v>
      </c>
      <c r="J72" s="14" t="s">
        <v>19</v>
      </c>
      <c r="K72" s="13" t="s">
        <v>17</v>
      </c>
      <c r="L72" s="13" t="s">
        <v>17</v>
      </c>
      <c r="M72" s="15" t="s">
        <v>35</v>
      </c>
      <c r="N72" s="3"/>
    </row>
    <row r="73" spans="1:14" ht="24.95" hidden="1" customHeight="1">
      <c r="A73" s="16" t="s">
        <v>113</v>
      </c>
      <c r="B73" s="16" t="s">
        <v>14</v>
      </c>
      <c r="C73" s="16" t="s">
        <v>15</v>
      </c>
      <c r="D73" s="17">
        <v>46099.677083333343</v>
      </c>
      <c r="E73" s="17">
        <v>46102.043749999997</v>
      </c>
      <c r="F73" s="17">
        <v>46102.377083333333</v>
      </c>
      <c r="G73" s="17">
        <v>46109.57708333333</v>
      </c>
      <c r="H73" s="17">
        <v>46103.427083333343</v>
      </c>
      <c r="I73" s="17">
        <v>46107</v>
      </c>
      <c r="J73" s="17" t="s">
        <v>24</v>
      </c>
      <c r="K73" s="16" t="s">
        <v>17</v>
      </c>
      <c r="L73" s="16" t="s">
        <v>17</v>
      </c>
      <c r="M73" s="18" t="s">
        <v>18</v>
      </c>
      <c r="N73" s="3"/>
    </row>
    <row r="74" spans="1:14" ht="24.95" hidden="1" customHeight="1">
      <c r="A74" s="13" t="s">
        <v>114</v>
      </c>
      <c r="B74" s="13" t="s">
        <v>21</v>
      </c>
      <c r="C74" s="13" t="s">
        <v>15</v>
      </c>
      <c r="D74" s="14">
        <v>46059.53125</v>
      </c>
      <c r="E74" s="14">
        <v>46062.48541666667</v>
      </c>
      <c r="F74" s="14">
        <v>46063.48541666667</v>
      </c>
      <c r="G74" s="14">
        <v>46066.085416666669</v>
      </c>
      <c r="H74" s="14">
        <v>46063.48541666667</v>
      </c>
      <c r="I74" s="14">
        <v>46064</v>
      </c>
      <c r="J74" s="14" t="s">
        <v>19</v>
      </c>
      <c r="K74" s="13" t="s">
        <v>17</v>
      </c>
      <c r="L74" s="13" t="s">
        <v>17</v>
      </c>
      <c r="M74" s="15" t="s">
        <v>89</v>
      </c>
      <c r="N74" s="3"/>
    </row>
    <row r="75" spans="1:14" ht="24.95" hidden="1" customHeight="1">
      <c r="A75" s="16" t="s">
        <v>115</v>
      </c>
      <c r="B75" s="16" t="s">
        <v>21</v>
      </c>
      <c r="C75" s="16" t="s">
        <v>30</v>
      </c>
      <c r="D75" s="17">
        <v>46112.489583333343</v>
      </c>
      <c r="E75" s="17">
        <v>46114.943749999999</v>
      </c>
      <c r="F75" s="17">
        <v>46114.943749999999</v>
      </c>
      <c r="G75" s="17">
        <v>46122.543749999997</v>
      </c>
      <c r="H75" s="17">
        <v>46116.458333333343</v>
      </c>
      <c r="I75" s="17">
        <v>46122</v>
      </c>
      <c r="J75" s="17" t="s">
        <v>39</v>
      </c>
      <c r="K75" s="16" t="s">
        <v>17</v>
      </c>
      <c r="L75" s="16" t="s">
        <v>17</v>
      </c>
      <c r="M75" s="18" t="s">
        <v>35</v>
      </c>
      <c r="N75" s="3"/>
    </row>
    <row r="76" spans="1:14" ht="24.95" hidden="1" customHeight="1">
      <c r="A76" s="13" t="s">
        <v>116</v>
      </c>
      <c r="B76" s="13" t="s">
        <v>21</v>
      </c>
      <c r="C76" s="13" t="s">
        <v>64</v>
      </c>
      <c r="D76" s="14">
        <v>46027.4375</v>
      </c>
      <c r="E76" s="14">
        <v>46031.004166666673</v>
      </c>
      <c r="F76" s="14">
        <v>46032.004166666673</v>
      </c>
      <c r="G76" s="14">
        <v>46033.20416666667</v>
      </c>
      <c r="H76" s="14">
        <v>46032.004166666673</v>
      </c>
      <c r="I76" s="14">
        <v>46033</v>
      </c>
      <c r="J76" s="14" t="s">
        <v>19</v>
      </c>
      <c r="K76" s="13" t="s">
        <v>17</v>
      </c>
      <c r="L76" s="13" t="s">
        <v>16</v>
      </c>
      <c r="M76" s="15" t="s">
        <v>35</v>
      </c>
      <c r="N76" s="3"/>
    </row>
    <row r="77" spans="1:14" ht="24.95" hidden="1" customHeight="1">
      <c r="A77" s="16" t="s">
        <v>117</v>
      </c>
      <c r="B77" s="16" t="s">
        <v>14</v>
      </c>
      <c r="C77" s="16" t="s">
        <v>26</v>
      </c>
      <c r="D77" s="17">
        <v>46056.572916666657</v>
      </c>
      <c r="E77" s="17">
        <v>46057.372916666667</v>
      </c>
      <c r="F77" s="17">
        <v>46059.372916666667</v>
      </c>
      <c r="G77" s="17">
        <v>46060.372916666667</v>
      </c>
      <c r="H77" s="17">
        <v>46059.46875</v>
      </c>
      <c r="I77" s="17">
        <v>46060</v>
      </c>
      <c r="J77" s="17" t="s">
        <v>19</v>
      </c>
      <c r="K77" s="16" t="s">
        <v>17</v>
      </c>
      <c r="L77" s="16" t="s">
        <v>17</v>
      </c>
      <c r="M77" s="18" t="s">
        <v>44</v>
      </c>
      <c r="N77" s="3"/>
    </row>
    <row r="78" spans="1:14" ht="24.95" hidden="1" customHeight="1">
      <c r="A78" s="13" t="s">
        <v>118</v>
      </c>
      <c r="B78" s="13" t="s">
        <v>21</v>
      </c>
      <c r="C78" s="13" t="s">
        <v>42</v>
      </c>
      <c r="D78" s="14">
        <v>46027.708333333343</v>
      </c>
      <c r="E78" s="14">
        <v>46030.133333333331</v>
      </c>
      <c r="F78" s="14">
        <v>46030.466666666667</v>
      </c>
      <c r="G78" s="14">
        <v>46037.666666666657</v>
      </c>
      <c r="H78" s="14">
        <v>46033.427083333343</v>
      </c>
      <c r="I78" s="14">
        <v>46035</v>
      </c>
      <c r="J78" s="14" t="s">
        <v>28</v>
      </c>
      <c r="K78" s="13" t="s">
        <v>17</v>
      </c>
      <c r="L78" s="13" t="s">
        <v>17</v>
      </c>
      <c r="M78" s="15" t="s">
        <v>38</v>
      </c>
      <c r="N78" s="3"/>
    </row>
    <row r="79" spans="1:14" ht="24.95" hidden="1" customHeight="1">
      <c r="A79" s="16" t="s">
        <v>119</v>
      </c>
      <c r="B79" s="16" t="s">
        <v>14</v>
      </c>
      <c r="C79" s="16" t="s">
        <v>15</v>
      </c>
      <c r="D79" s="17">
        <v>46061.333333333343</v>
      </c>
      <c r="E79" s="17">
        <v>46062.487500000003</v>
      </c>
      <c r="F79" s="17">
        <v>46062.820833333331</v>
      </c>
      <c r="G79" s="17">
        <v>46067.620833333327</v>
      </c>
      <c r="H79" s="17">
        <v>46063.416666666657</v>
      </c>
      <c r="I79" s="17">
        <v>46066</v>
      </c>
      <c r="J79" s="17" t="s">
        <v>24</v>
      </c>
      <c r="K79" s="16" t="s">
        <v>16</v>
      </c>
      <c r="L79" s="16" t="s">
        <v>17</v>
      </c>
      <c r="M79" s="18" t="s">
        <v>35</v>
      </c>
      <c r="N79" s="3"/>
    </row>
    <row r="80" spans="1:14" ht="24.95" hidden="1" customHeight="1">
      <c r="A80" s="13" t="s">
        <v>120</v>
      </c>
      <c r="B80" s="13" t="s">
        <v>21</v>
      </c>
      <c r="C80" s="13" t="s">
        <v>30</v>
      </c>
      <c r="D80" s="14">
        <v>46045.40625</v>
      </c>
      <c r="E80" s="14">
        <v>46047.20208333333</v>
      </c>
      <c r="F80" s="14">
        <v>46048.70208333333</v>
      </c>
      <c r="G80" s="14">
        <v>46051.902083333327</v>
      </c>
      <c r="H80" s="14">
        <v>46049.416666666657</v>
      </c>
      <c r="I80" s="14">
        <v>46051</v>
      </c>
      <c r="J80" s="14" t="s">
        <v>19</v>
      </c>
      <c r="K80" s="13" t="s">
        <v>17</v>
      </c>
      <c r="L80" s="13" t="s">
        <v>17</v>
      </c>
      <c r="M80" s="15" t="s">
        <v>31</v>
      </c>
      <c r="N80" s="3"/>
    </row>
    <row r="81" spans="1:14" ht="24.95" hidden="1" customHeight="1">
      <c r="A81" s="16" t="s">
        <v>121</v>
      </c>
      <c r="B81" s="16" t="s">
        <v>14</v>
      </c>
      <c r="C81" s="16" t="s">
        <v>42</v>
      </c>
      <c r="D81" s="17">
        <v>46109.677083333343</v>
      </c>
      <c r="E81" s="17">
        <v>46111.647916666669</v>
      </c>
      <c r="F81" s="17">
        <v>46113.147916666669</v>
      </c>
      <c r="G81" s="17">
        <v>46119.54791666667</v>
      </c>
      <c r="H81" s="17">
        <v>46113.314583333333</v>
      </c>
      <c r="I81" s="17">
        <v>46119</v>
      </c>
      <c r="J81" s="17" t="s">
        <v>36</v>
      </c>
      <c r="K81" s="16" t="s">
        <v>17</v>
      </c>
      <c r="L81" s="16" t="s">
        <v>17</v>
      </c>
      <c r="M81" s="18" t="s">
        <v>18</v>
      </c>
      <c r="N81" s="3"/>
    </row>
    <row r="82" spans="1:14" ht="24.95" hidden="1" customHeight="1">
      <c r="A82" s="13" t="s">
        <v>122</v>
      </c>
      <c r="B82" s="13" t="s">
        <v>21</v>
      </c>
      <c r="C82" s="13" t="s">
        <v>30</v>
      </c>
      <c r="D82" s="14">
        <v>46072.625</v>
      </c>
      <c r="E82" s="14">
        <v>46075.012499999997</v>
      </c>
      <c r="F82" s="14">
        <v>46076.512499999997</v>
      </c>
      <c r="G82" s="14">
        <v>46083.3125</v>
      </c>
      <c r="H82" s="14">
        <v>46076.512499999997</v>
      </c>
      <c r="I82" s="14">
        <v>46084</v>
      </c>
      <c r="J82" s="14" t="s">
        <v>33</v>
      </c>
      <c r="K82" s="13" t="s">
        <v>17</v>
      </c>
      <c r="L82" s="13" t="s">
        <v>16</v>
      </c>
      <c r="M82" s="15" t="s">
        <v>23</v>
      </c>
      <c r="N82" s="3"/>
    </row>
    <row r="83" spans="1:14" ht="24.95" hidden="1" customHeight="1">
      <c r="A83" s="16" t="s">
        <v>123</v>
      </c>
      <c r="B83" s="16" t="s">
        <v>14</v>
      </c>
      <c r="C83" s="16" t="s">
        <v>15</v>
      </c>
      <c r="D83" s="17">
        <v>46133.364583333343</v>
      </c>
      <c r="E83" s="17">
        <v>46134.95208333333</v>
      </c>
      <c r="F83" s="17">
        <v>46135.118750000001</v>
      </c>
      <c r="G83" s="17">
        <v>46135.618750000001</v>
      </c>
      <c r="H83" s="17">
        <v>46135.285416666673</v>
      </c>
      <c r="I83" s="17">
        <v>46136</v>
      </c>
      <c r="J83" s="17" t="s">
        <v>19</v>
      </c>
      <c r="K83" s="16" t="s">
        <v>17</v>
      </c>
      <c r="L83" s="16" t="s">
        <v>17</v>
      </c>
      <c r="M83" s="18" t="s">
        <v>35</v>
      </c>
      <c r="N83" s="3"/>
    </row>
    <row r="84" spans="1:14" ht="24.95" hidden="1" customHeight="1">
      <c r="A84" s="13" t="s">
        <v>124</v>
      </c>
      <c r="B84" s="13" t="s">
        <v>21</v>
      </c>
      <c r="C84" s="13" t="s">
        <v>22</v>
      </c>
      <c r="D84" s="14">
        <v>46035.354166666657</v>
      </c>
      <c r="E84" s="14">
        <v>46037.70416666667</v>
      </c>
      <c r="F84" s="14">
        <v>46038.037499999999</v>
      </c>
      <c r="G84" s="14">
        <v>46041.737500000003</v>
      </c>
      <c r="H84" s="14">
        <v>46038.385416666657</v>
      </c>
      <c r="I84" s="14">
        <v>46040</v>
      </c>
      <c r="J84" s="14" t="s">
        <v>33</v>
      </c>
      <c r="K84" s="13" t="s">
        <v>16</v>
      </c>
      <c r="L84" s="13" t="s">
        <v>17</v>
      </c>
      <c r="M84" s="15" t="s">
        <v>35</v>
      </c>
      <c r="N84" s="3"/>
    </row>
    <row r="85" spans="1:14" ht="24.95" hidden="1" customHeight="1">
      <c r="A85" s="16" t="s">
        <v>125</v>
      </c>
      <c r="B85" s="16" t="s">
        <v>21</v>
      </c>
      <c r="C85" s="16" t="s">
        <v>30</v>
      </c>
      <c r="D85" s="17">
        <v>46039.6875</v>
      </c>
      <c r="E85" s="17">
        <v>46040.020833333343</v>
      </c>
      <c r="F85" s="17">
        <v>46040.1875</v>
      </c>
      <c r="G85" s="17">
        <v>46043.487500000003</v>
      </c>
      <c r="H85" s="17">
        <v>46040.354166666657</v>
      </c>
      <c r="I85" s="17">
        <v>46042</v>
      </c>
      <c r="J85" s="17" t="s">
        <v>19</v>
      </c>
      <c r="K85" s="16" t="s">
        <v>17</v>
      </c>
      <c r="L85" s="16" t="s">
        <v>17</v>
      </c>
      <c r="M85" s="18" t="s">
        <v>89</v>
      </c>
      <c r="N85" s="3"/>
    </row>
    <row r="86" spans="1:14" ht="24.95" hidden="1" customHeight="1">
      <c r="A86" s="13" t="s">
        <v>126</v>
      </c>
      <c r="B86" s="13" t="s">
        <v>14</v>
      </c>
      <c r="C86" s="13" t="s">
        <v>26</v>
      </c>
      <c r="D86" s="14">
        <v>46032.427083333343</v>
      </c>
      <c r="E86" s="14">
        <v>46033.997916666667</v>
      </c>
      <c r="F86" s="14">
        <v>46034.997916666667</v>
      </c>
      <c r="G86" s="14">
        <v>46036.697916666657</v>
      </c>
      <c r="H86" s="14">
        <v>46034.997916666667</v>
      </c>
      <c r="I86" s="14">
        <v>46036</v>
      </c>
      <c r="J86" s="14" t="s">
        <v>19</v>
      </c>
      <c r="K86" s="13" t="s">
        <v>17</v>
      </c>
      <c r="L86" s="13" t="s">
        <v>17</v>
      </c>
      <c r="M86" s="15" t="s">
        <v>83</v>
      </c>
      <c r="N86" s="3"/>
    </row>
    <row r="87" spans="1:14" ht="24.95" hidden="1" customHeight="1">
      <c r="A87" s="16" t="s">
        <v>127</v>
      </c>
      <c r="B87" s="16" t="s">
        <v>21</v>
      </c>
      <c r="C87" s="16" t="s">
        <v>26</v>
      </c>
      <c r="D87" s="17">
        <v>46091.40625</v>
      </c>
      <c r="E87" s="17">
        <v>46092.664583333331</v>
      </c>
      <c r="F87" s="17">
        <v>46092.997916666667</v>
      </c>
      <c r="G87" s="17">
        <v>46099.597916666673</v>
      </c>
      <c r="H87" s="17">
        <v>46093.427083333343</v>
      </c>
      <c r="I87" s="17">
        <v>46097</v>
      </c>
      <c r="J87" s="17" t="s">
        <v>36</v>
      </c>
      <c r="K87" s="16" t="s">
        <v>17</v>
      </c>
      <c r="L87" s="16" t="s">
        <v>17</v>
      </c>
      <c r="M87" s="18" t="s">
        <v>48</v>
      </c>
      <c r="N87" s="3"/>
    </row>
    <row r="88" spans="1:14" ht="24.95" hidden="1" customHeight="1">
      <c r="A88" s="13" t="s">
        <v>128</v>
      </c>
      <c r="B88" s="13" t="s">
        <v>14</v>
      </c>
      <c r="C88" s="13" t="s">
        <v>15</v>
      </c>
      <c r="D88" s="14">
        <v>46136.6875</v>
      </c>
      <c r="E88" s="14">
        <v>46138.112500000003</v>
      </c>
      <c r="F88" s="14">
        <v>46138.112500000003</v>
      </c>
      <c r="G88" s="14">
        <v>46141.612500000003</v>
      </c>
      <c r="H88" s="14">
        <v>46138.279166666667</v>
      </c>
      <c r="I88" s="14">
        <v>46140</v>
      </c>
      <c r="J88" s="14" t="s">
        <v>19</v>
      </c>
      <c r="K88" s="13" t="s">
        <v>17</v>
      </c>
      <c r="L88" s="13" t="s">
        <v>17</v>
      </c>
      <c r="M88" s="15" t="s">
        <v>38</v>
      </c>
      <c r="N88" s="3"/>
    </row>
    <row r="89" spans="1:14" ht="24.95" hidden="1" customHeight="1">
      <c r="A89" s="16" t="s">
        <v>129</v>
      </c>
      <c r="B89" s="16" t="s">
        <v>21</v>
      </c>
      <c r="C89" s="16" t="s">
        <v>30</v>
      </c>
      <c r="D89" s="17">
        <v>46028.354166666657</v>
      </c>
      <c r="E89" s="17">
        <v>46031.1</v>
      </c>
      <c r="F89" s="17">
        <v>46031.26666666667</v>
      </c>
      <c r="G89" s="17">
        <v>46035.466666666667</v>
      </c>
      <c r="H89" s="17">
        <v>46033.427083333343</v>
      </c>
      <c r="I89" s="17">
        <v>46033</v>
      </c>
      <c r="J89" s="17" t="s">
        <v>39</v>
      </c>
      <c r="K89" s="16" t="s">
        <v>16</v>
      </c>
      <c r="L89" s="16" t="s">
        <v>17</v>
      </c>
      <c r="M89" s="18" t="s">
        <v>27</v>
      </c>
      <c r="N89" s="3"/>
    </row>
    <row r="90" spans="1:14" ht="24.95" hidden="1" customHeight="1">
      <c r="A90" s="13" t="s">
        <v>130</v>
      </c>
      <c r="B90" s="13" t="s">
        <v>14</v>
      </c>
      <c r="C90" s="13" t="s">
        <v>26</v>
      </c>
      <c r="D90" s="14">
        <v>46116.447916666657</v>
      </c>
      <c r="E90" s="14">
        <v>46117.277083333327</v>
      </c>
      <c r="F90" s="14">
        <v>46118.777083333327</v>
      </c>
      <c r="G90" s="14">
        <v>46119.877083333333</v>
      </c>
      <c r="H90" s="14">
        <v>46118.777083333327</v>
      </c>
      <c r="I90" s="14">
        <v>46120</v>
      </c>
      <c r="J90" s="14" t="s">
        <v>19</v>
      </c>
      <c r="K90" s="13" t="s">
        <v>17</v>
      </c>
      <c r="L90" s="13" t="s">
        <v>16</v>
      </c>
      <c r="M90" s="15" t="s">
        <v>44</v>
      </c>
      <c r="N90" s="3"/>
    </row>
    <row r="91" spans="1:14" ht="24.95" hidden="1" customHeight="1">
      <c r="A91" s="16" t="s">
        <v>131</v>
      </c>
      <c r="B91" s="16" t="s">
        <v>14</v>
      </c>
      <c r="C91" s="16" t="s">
        <v>22</v>
      </c>
      <c r="D91" s="17">
        <v>46132.541666666657</v>
      </c>
      <c r="E91" s="17">
        <v>46134.087500000001</v>
      </c>
      <c r="F91" s="17">
        <v>46136.087500000001</v>
      </c>
      <c r="G91" s="17">
        <v>46140.087500000001</v>
      </c>
      <c r="H91" s="17">
        <v>46136.254166666673</v>
      </c>
      <c r="I91" s="17">
        <v>46139</v>
      </c>
      <c r="J91" s="17" t="s">
        <v>36</v>
      </c>
      <c r="K91" s="16" t="s">
        <v>17</v>
      </c>
      <c r="L91" s="16" t="s">
        <v>16</v>
      </c>
      <c r="M91" s="18" t="s">
        <v>44</v>
      </c>
      <c r="N91" s="3"/>
    </row>
    <row r="92" spans="1:14" ht="24.95" hidden="1" customHeight="1">
      <c r="A92" s="13" t="s">
        <v>132</v>
      </c>
      <c r="B92" s="13" t="s">
        <v>14</v>
      </c>
      <c r="C92" s="13" t="s">
        <v>26</v>
      </c>
      <c r="D92" s="14">
        <v>46105.708333333343</v>
      </c>
      <c r="E92" s="14">
        <v>46107.220833333333</v>
      </c>
      <c r="F92" s="14">
        <v>46107.387499999997</v>
      </c>
      <c r="G92" s="14">
        <v>46112.1875</v>
      </c>
      <c r="H92" s="14">
        <v>46107.554166666669</v>
      </c>
      <c r="I92" s="14">
        <v>46110</v>
      </c>
      <c r="J92" s="14" t="s">
        <v>33</v>
      </c>
      <c r="K92" s="13" t="s">
        <v>17</v>
      </c>
      <c r="L92" s="13" t="s">
        <v>17</v>
      </c>
      <c r="M92" s="15" t="s">
        <v>86</v>
      </c>
      <c r="N92" s="3"/>
    </row>
    <row r="93" spans="1:14" ht="24.95" hidden="1" customHeight="1">
      <c r="A93" s="16" t="s">
        <v>133</v>
      </c>
      <c r="B93" s="16" t="s">
        <v>21</v>
      </c>
      <c r="C93" s="16" t="s">
        <v>30</v>
      </c>
      <c r="D93" s="17">
        <v>46127.479166666657</v>
      </c>
      <c r="E93" s="17">
        <v>46130.01666666667</v>
      </c>
      <c r="F93" s="17">
        <v>46131.51666666667</v>
      </c>
      <c r="G93" s="17">
        <v>46139.51666666667</v>
      </c>
      <c r="H93" s="17">
        <v>46132.416666666657</v>
      </c>
      <c r="I93" s="17">
        <v>46139</v>
      </c>
      <c r="J93" s="17" t="s">
        <v>28</v>
      </c>
      <c r="K93" s="16" t="s">
        <v>16</v>
      </c>
      <c r="L93" s="16" t="s">
        <v>16</v>
      </c>
      <c r="M93" s="18" t="s">
        <v>35</v>
      </c>
      <c r="N93" s="3"/>
    </row>
    <row r="94" spans="1:14" ht="24.95" hidden="1" customHeight="1">
      <c r="A94" s="13" t="s">
        <v>134</v>
      </c>
      <c r="B94" s="13" t="s">
        <v>21</v>
      </c>
      <c r="C94" s="13" t="s">
        <v>15</v>
      </c>
      <c r="D94" s="14">
        <v>46107.34375</v>
      </c>
      <c r="E94" s="14">
        <v>46111.247916666667</v>
      </c>
      <c r="F94" s="14">
        <v>46111.414583333331</v>
      </c>
      <c r="G94" s="14">
        <v>46115.914583333331</v>
      </c>
      <c r="H94" s="14">
        <v>46111.414583333331</v>
      </c>
      <c r="I94" s="14">
        <v>46114</v>
      </c>
      <c r="J94" s="14" t="s">
        <v>33</v>
      </c>
      <c r="K94" s="13" t="s">
        <v>16</v>
      </c>
      <c r="L94" s="13" t="s">
        <v>17</v>
      </c>
      <c r="M94" s="15" t="s">
        <v>23</v>
      </c>
      <c r="N94" s="3"/>
    </row>
    <row r="95" spans="1:14" ht="24.95" hidden="1" customHeight="1">
      <c r="A95" s="16" t="s">
        <v>135</v>
      </c>
      <c r="B95" s="16" t="s">
        <v>14</v>
      </c>
      <c r="C95" s="16" t="s">
        <v>15</v>
      </c>
      <c r="D95" s="17">
        <v>46031.65625</v>
      </c>
      <c r="E95" s="17">
        <v>46032.939583333333</v>
      </c>
      <c r="F95" s="17">
        <v>46032.939583333333</v>
      </c>
      <c r="G95" s="17">
        <v>46034.739583333343</v>
      </c>
      <c r="H95" s="17">
        <v>46033.34375</v>
      </c>
      <c r="I95" s="17">
        <v>46034</v>
      </c>
      <c r="J95" s="17" t="s">
        <v>19</v>
      </c>
      <c r="K95" s="16" t="s">
        <v>17</v>
      </c>
      <c r="L95" s="16" t="s">
        <v>17</v>
      </c>
      <c r="M95" s="18" t="s">
        <v>27</v>
      </c>
      <c r="N95" s="3"/>
    </row>
    <row r="96" spans="1:14" ht="24.95" hidden="1" customHeight="1">
      <c r="A96" s="13" t="s">
        <v>136</v>
      </c>
      <c r="B96" s="13" t="s">
        <v>14</v>
      </c>
      <c r="C96" s="13" t="s">
        <v>30</v>
      </c>
      <c r="D96" s="14">
        <v>46026.364583333343</v>
      </c>
      <c r="E96" s="14">
        <v>46027.785416666673</v>
      </c>
      <c r="F96" s="14">
        <v>46027.785416666673</v>
      </c>
      <c r="G96" s="14">
        <v>46030.285416666673</v>
      </c>
      <c r="H96" s="14">
        <v>46028.46875</v>
      </c>
      <c r="I96" s="14">
        <v>46029</v>
      </c>
      <c r="J96" s="14" t="s">
        <v>19</v>
      </c>
      <c r="K96" s="13" t="s">
        <v>17</v>
      </c>
      <c r="L96" s="13" t="s">
        <v>16</v>
      </c>
      <c r="M96" s="15" t="s">
        <v>86</v>
      </c>
      <c r="N96" s="3"/>
    </row>
    <row r="97" spans="1:14" ht="24.95" hidden="1" customHeight="1">
      <c r="A97" s="16" t="s">
        <v>137</v>
      </c>
      <c r="B97" s="16" t="s">
        <v>14</v>
      </c>
      <c r="C97" s="16" t="s">
        <v>15</v>
      </c>
      <c r="D97" s="17">
        <v>46058.729166666657</v>
      </c>
      <c r="E97" s="17">
        <v>46059.587500000001</v>
      </c>
      <c r="F97" s="17">
        <v>46059.92083333333</v>
      </c>
      <c r="G97" s="17">
        <v>46065.92083333333</v>
      </c>
      <c r="H97" s="17">
        <v>46060.333333333343</v>
      </c>
      <c r="I97" s="17">
        <v>46065</v>
      </c>
      <c r="J97" s="17" t="s">
        <v>33</v>
      </c>
      <c r="K97" s="16" t="s">
        <v>17</v>
      </c>
      <c r="L97" s="16" t="s">
        <v>16</v>
      </c>
      <c r="M97" s="18" t="s">
        <v>27</v>
      </c>
      <c r="N97" s="3"/>
    </row>
    <row r="98" spans="1:14" ht="24.95" hidden="1" customHeight="1">
      <c r="A98" s="13" t="s">
        <v>138</v>
      </c>
      <c r="B98" s="13" t="s">
        <v>21</v>
      </c>
      <c r="C98" s="13" t="s">
        <v>22</v>
      </c>
      <c r="D98" s="14">
        <v>46133.489583333343</v>
      </c>
      <c r="E98" s="14">
        <v>46135.152083333327</v>
      </c>
      <c r="F98" s="14">
        <v>46135.48541666667</v>
      </c>
      <c r="G98" s="14">
        <v>46140.085416666669</v>
      </c>
      <c r="H98" s="14">
        <v>46135.458333333343</v>
      </c>
      <c r="I98" s="14">
        <v>46138</v>
      </c>
      <c r="J98" s="14" t="s">
        <v>36</v>
      </c>
      <c r="K98" s="13" t="s">
        <v>17</v>
      </c>
      <c r="L98" s="13" t="s">
        <v>17</v>
      </c>
      <c r="M98" s="15" t="s">
        <v>89</v>
      </c>
      <c r="N98" s="3"/>
    </row>
    <row r="99" spans="1:14" ht="24.95" hidden="1" customHeight="1">
      <c r="A99" s="16" t="s">
        <v>139</v>
      </c>
      <c r="B99" s="16" t="s">
        <v>14</v>
      </c>
      <c r="C99" s="16" t="s">
        <v>30</v>
      </c>
      <c r="D99" s="17">
        <v>46042.625</v>
      </c>
      <c r="E99" s="17">
        <v>46043.958333333343</v>
      </c>
      <c r="F99" s="17">
        <v>46044.958333333343</v>
      </c>
      <c r="G99" s="17">
        <v>46049.658333333333</v>
      </c>
      <c r="H99" s="17">
        <v>46045.125</v>
      </c>
      <c r="I99" s="17">
        <v>46048</v>
      </c>
      <c r="J99" s="17" t="s">
        <v>28</v>
      </c>
      <c r="K99" s="16" t="s">
        <v>17</v>
      </c>
      <c r="L99" s="16"/>
      <c r="M99" s="18" t="s">
        <v>86</v>
      </c>
      <c r="N99" s="3"/>
    </row>
    <row r="100" spans="1:14" ht="24.95" hidden="1" customHeight="1">
      <c r="A100" s="13" t="s">
        <v>140</v>
      </c>
      <c r="B100" s="13" t="s">
        <v>21</v>
      </c>
      <c r="C100" s="13" t="s">
        <v>42</v>
      </c>
      <c r="D100" s="14">
        <v>46094.541666666657</v>
      </c>
      <c r="E100" s="14">
        <v>46095.254166666673</v>
      </c>
      <c r="F100" s="14">
        <v>46096.254166666673</v>
      </c>
      <c r="G100" s="14">
        <v>46102.654166666667</v>
      </c>
      <c r="H100" s="14">
        <v>46096.479166666657</v>
      </c>
      <c r="I100" s="14">
        <v>46100</v>
      </c>
      <c r="J100" s="14" t="s">
        <v>24</v>
      </c>
      <c r="K100" s="13" t="s">
        <v>17</v>
      </c>
      <c r="L100" s="13" t="s">
        <v>17</v>
      </c>
      <c r="M100" s="15" t="s">
        <v>89</v>
      </c>
      <c r="N100" s="3"/>
    </row>
    <row r="101" spans="1:14" ht="24.95" hidden="1" customHeight="1" thickBot="1">
      <c r="A101" s="16" t="s">
        <v>141</v>
      </c>
      <c r="B101" s="16" t="s">
        <v>21</v>
      </c>
      <c r="C101" s="16" t="s">
        <v>15</v>
      </c>
      <c r="D101" s="17">
        <v>46096.677083333343</v>
      </c>
      <c r="E101" s="17">
        <v>46099.560416666667</v>
      </c>
      <c r="F101" s="17">
        <v>46099.560416666667</v>
      </c>
      <c r="G101" s="17">
        <v>46105.660416666673</v>
      </c>
      <c r="H101" s="17">
        <v>46101.458333333343</v>
      </c>
      <c r="I101" s="17">
        <v>46106</v>
      </c>
      <c r="J101" s="17" t="s">
        <v>24</v>
      </c>
      <c r="K101" s="16" t="s">
        <v>17</v>
      </c>
      <c r="L101" s="16" t="s">
        <v>16</v>
      </c>
      <c r="M101" s="18" t="s">
        <v>48</v>
      </c>
      <c r="N101" s="3"/>
    </row>
    <row r="102" spans="1:14" ht="24.95" customHeight="1" thickTop="1">
      <c r="A102" s="19"/>
      <c r="B102" s="19"/>
      <c r="C102" s="19"/>
      <c r="D102" s="19"/>
      <c r="E102" s="19"/>
      <c r="F102" s="20"/>
      <c r="G102" s="20"/>
      <c r="H102" s="20"/>
      <c r="I102" s="20"/>
      <c r="J102" s="20" t="s">
        <v>54</v>
      </c>
      <c r="K102" s="20"/>
      <c r="L102" s="19"/>
      <c r="M102" s="21"/>
      <c r="N102" s="3"/>
    </row>
  </sheetData>
  <pageMargins left="0.7" right="0.7" top="0.75" bottom="0.75" header="0.3" footer="0.3"/>
  <pageSetup paperSize="9"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R102"/>
  <sheetViews>
    <sheetView tabSelected="1" topLeftCell="G1" zoomScale="89" zoomScaleNormal="89" workbookViewId="0">
      <pane ySplit="2" topLeftCell="A3" activePane="bottomLeft" state="frozen"/>
      <selection pane="bottomLeft" activeCell="P5" sqref="P5"/>
    </sheetView>
  </sheetViews>
  <sheetFormatPr defaultColWidth="18" defaultRowHeight="24.95" customHeight="1"/>
  <cols>
    <col min="1" max="1" width="13.25" style="5" customWidth="1"/>
    <col min="2" max="3" width="18" style="5" customWidth="1"/>
    <col min="4" max="4" width="19.875" style="1" customWidth="1"/>
    <col min="5" max="5" width="18.875" style="1" customWidth="1"/>
    <col min="6" max="7" width="18.75" style="1" customWidth="1"/>
    <col min="8" max="8" width="23.5" style="1" customWidth="1"/>
    <col min="9" max="9" width="23" style="1" customWidth="1"/>
    <col min="10" max="10" width="31.375" style="3" customWidth="1"/>
    <col min="11" max="11" width="27.5" style="5" customWidth="1"/>
    <col min="12" max="12" width="18" style="6" customWidth="1"/>
    <col min="13" max="13" width="24.875" style="6" customWidth="1"/>
    <col min="14" max="14" width="18" style="8" customWidth="1"/>
    <col min="15" max="15" width="21.625" style="8" customWidth="1"/>
    <col min="16" max="16" width="30.75" style="8" customWidth="1"/>
    <col min="17" max="17" width="24.625" customWidth="1"/>
    <col min="18" max="18" width="18.125" customWidth="1"/>
  </cols>
  <sheetData>
    <row r="1" spans="1:18" ht="27.95" customHeight="1">
      <c r="A1" s="34" t="s">
        <v>0</v>
      </c>
      <c r="B1" s="34" t="s">
        <v>1</v>
      </c>
      <c r="C1" s="34" t="s">
        <v>2</v>
      </c>
      <c r="D1" s="42" t="s">
        <v>3</v>
      </c>
      <c r="E1" s="42" t="s">
        <v>4</v>
      </c>
      <c r="F1" s="42" t="s">
        <v>5</v>
      </c>
      <c r="G1" s="42" t="s">
        <v>6</v>
      </c>
      <c r="H1" s="42" t="s">
        <v>10</v>
      </c>
      <c r="I1" s="42" t="s">
        <v>11</v>
      </c>
      <c r="J1" s="34" t="s">
        <v>12</v>
      </c>
      <c r="K1" s="38" t="s">
        <v>9</v>
      </c>
      <c r="L1" s="34" t="s">
        <v>142</v>
      </c>
      <c r="M1" s="34" t="s">
        <v>160</v>
      </c>
      <c r="N1" s="34" t="s">
        <v>143</v>
      </c>
      <c r="O1" s="34" t="s">
        <v>161</v>
      </c>
      <c r="P1" s="34" t="s">
        <v>162</v>
      </c>
      <c r="Q1" s="34" t="s">
        <v>164</v>
      </c>
    </row>
    <row r="2" spans="1:18" ht="24.95" customHeight="1">
      <c r="A2" s="41" t="s">
        <v>13</v>
      </c>
      <c r="B2" s="35" t="s">
        <v>14</v>
      </c>
      <c r="C2" s="35" t="s">
        <v>15</v>
      </c>
      <c r="D2" s="43">
        <v>46035.5625</v>
      </c>
      <c r="E2" s="43">
        <v>46036.258333333331</v>
      </c>
      <c r="F2" s="43">
        <v>46038.258333333331</v>
      </c>
      <c r="G2" s="43">
        <v>46040.258333333331</v>
      </c>
      <c r="H2" s="43">
        <v>46038.354166666657</v>
      </c>
      <c r="I2" s="43">
        <v>46039</v>
      </c>
      <c r="J2" s="36" t="s">
        <v>19</v>
      </c>
      <c r="K2" s="37" t="s">
        <v>18</v>
      </c>
      <c r="L2" s="39">
        <f>(Table8[[#This Row],[Garage_Booked_DateTime]] - Table8[[#This Row],[Defect_Reported_DateTime]])*24</f>
        <v>16.699999999953434</v>
      </c>
      <c r="M2" s="39" t="str">
        <f>IF(Table8[[#This Row],[Vehicle_Type]]&lt;&gt;"Specialised", "Not Applicable", IF(Table8[[#This Row],[Hours_To_Book]]&gt;48, "Yes", "No"))</f>
        <v>No</v>
      </c>
      <c r="N2" s="40">
        <f>(Table8[[#This Row],[Garage_Out_Date]]-Table8[[#This Row],[Garage_In_Date]])</f>
        <v>2</v>
      </c>
      <c r="O2" s="40" t="str">
        <f>IF(Table8[[#This Row],[Total_VOR_Days]] &gt;3.5, "Yes", "No")</f>
        <v>No</v>
      </c>
      <c r="P2" s="40" t="str">
        <f>IF(Table8[[#This Row],[Vehicle_Type]]&lt;&gt;"Specialised","Not Applicable", IF(Table8[[#This Row],[Hours_To_Book]]&gt;48, "Not Assessed", IF(Table8[[#This Row],[Total_VOR_Days]]&gt;3.5, "Ineffective", "Effective")))</f>
        <v>Effective</v>
      </c>
      <c r="Q2" s="44">
        <f>IF(OR(Table8[[#This Row],[Garage_In_Date]]="",Table8[[#This Row],[Actual_Repair_Start_Date]]=""),"N/A",(Table8[[#This Row],[Actual_Repair_Start_Date]]-Table8[[#This Row],[Garage_In_Date]])*24)</f>
        <v>2.2999999998137355</v>
      </c>
      <c r="R2" s="3"/>
    </row>
    <row r="3" spans="1:18" ht="24.95" customHeight="1">
      <c r="A3" s="28" t="s">
        <v>20</v>
      </c>
      <c r="B3" s="29" t="s">
        <v>21</v>
      </c>
      <c r="C3" s="29" t="s">
        <v>22</v>
      </c>
      <c r="D3" s="17">
        <v>46102.552083333343</v>
      </c>
      <c r="E3" s="17">
        <v>46104.76458333333</v>
      </c>
      <c r="F3" s="17">
        <v>46104.931250000001</v>
      </c>
      <c r="G3" s="17">
        <v>46108.53125</v>
      </c>
      <c r="H3" s="17">
        <v>46105.097916666673</v>
      </c>
      <c r="I3" s="17">
        <v>46108</v>
      </c>
      <c r="J3" s="31" t="s">
        <v>163</v>
      </c>
      <c r="K3" s="33" t="s">
        <v>23</v>
      </c>
      <c r="L3" s="30">
        <f>(Table8[[#This Row],[Garage_Booked_DateTime]] - Table8[[#This Row],[Defect_Reported_DateTime]])*24</f>
        <v>53.099999999685679</v>
      </c>
      <c r="M3" s="30" t="str">
        <f>IF(Table8[[#This Row],[Vehicle_Type]]&lt;&gt;"Specialised", "Not Applicable", IF(Table8[[#This Row],[Hours_To_Book]]&gt;48, "Yes", "No"))</f>
        <v>Not Applicable</v>
      </c>
      <c r="N3" s="32">
        <f>(Table8[[#This Row],[Garage_Out_Date]]-Table8[[#This Row],[Garage_In_Date]])</f>
        <v>3.5999999999985448</v>
      </c>
      <c r="O3" s="32" t="str">
        <f>IF(Table8[[#This Row],[Total_VOR_Days]] &gt;3.5, "Yes", "No")</f>
        <v>Yes</v>
      </c>
      <c r="P3" s="26" t="str">
        <f>IF(Table8[[#This Row],[Vehicle_Type]]&lt;&gt;"Specialised","Not Applicable", IF(Table8[[#This Row],[Hours_To_Book]]&gt;48, "Not Assessed", IF(Table8[[#This Row],[Total_VOR_Days]]&gt;3.5, "Ineffective", "Effective")))</f>
        <v>Not Applicable</v>
      </c>
      <c r="Q3" s="44">
        <f>IF(OR(Table8[[#This Row],[Garage_In_Date]]="",Table8[[#This Row],[Actual_Repair_Start_Date]]=""),"N/A",(Table8[[#This Row],[Actual_Repair_Start_Date]]-Table8[[#This Row],[Garage_In_Date]])*24)</f>
        <v>4.0000000001164153</v>
      </c>
      <c r="R3" s="3"/>
    </row>
    <row r="4" spans="1:18" ht="24.95" customHeight="1">
      <c r="A4" s="22" t="s">
        <v>25</v>
      </c>
      <c r="B4" s="23" t="s">
        <v>21</v>
      </c>
      <c r="C4" s="23" t="s">
        <v>26</v>
      </c>
      <c r="D4" s="14">
        <v>46081.552083333343</v>
      </c>
      <c r="E4" s="14">
        <v>46083.414583333331</v>
      </c>
      <c r="F4" s="14">
        <v>46083.747916666667</v>
      </c>
      <c r="G4" s="14">
        <v>46088.947916666657</v>
      </c>
      <c r="H4" s="14">
        <v>46083.914583333331</v>
      </c>
      <c r="I4" s="14">
        <v>46087</v>
      </c>
      <c r="J4" s="25" t="s">
        <v>28</v>
      </c>
      <c r="K4" s="27" t="s">
        <v>27</v>
      </c>
      <c r="L4" s="24">
        <f>(Table8[[#This Row],[Garage_Booked_DateTime]] - Table8[[#This Row],[Defect_Reported_DateTime]])*24</f>
        <v>44.699999999720603</v>
      </c>
      <c r="M4" s="24" t="str">
        <f>IF(Table8[[#This Row],[Vehicle_Type]]&lt;&gt;"Specialised", "Not Applicable", IF(Table8[[#This Row],[Hours_To_Book]]&gt;48, "Yes", "No"))</f>
        <v>Not Applicable</v>
      </c>
      <c r="N4" s="26">
        <f>(Table8[[#This Row],[Garage_Out_Date]]-Table8[[#This Row],[Garage_In_Date]])</f>
        <v>5.1999999999898137</v>
      </c>
      <c r="O4" s="26" t="str">
        <f>IF(Table8[[#This Row],[Total_VOR_Days]] &gt;3.5, "Yes", "No")</f>
        <v>Yes</v>
      </c>
      <c r="P4" s="26" t="str">
        <f>IF(Table8[[#This Row],[Vehicle_Type]]&lt;&gt;"Specialised","Not Applicable", IF(Table8[[#This Row],[Hours_To_Book]]&gt;48, "Not Assessed", IF(Table8[[#This Row],[Total_VOR_Days]]&gt;3.5, "Ineffective", "Effective")))</f>
        <v>Not Applicable</v>
      </c>
      <c r="Q4" s="44">
        <f>IF(OR(Table8[[#This Row],[Garage_In_Date]]="",Table8[[#This Row],[Actual_Repair_Start_Date]]=""),"N/A",(Table8[[#This Row],[Actual_Repair_Start_Date]]-Table8[[#This Row],[Garage_In_Date]])*24)</f>
        <v>3.9999999999417923</v>
      </c>
      <c r="R4" s="3"/>
    </row>
    <row r="5" spans="1:18" ht="24.95" customHeight="1">
      <c r="A5" s="28" t="s">
        <v>29</v>
      </c>
      <c r="B5" s="29" t="s">
        <v>14</v>
      </c>
      <c r="C5" s="29" t="s">
        <v>30</v>
      </c>
      <c r="D5" s="17">
        <v>46082.604166666657</v>
      </c>
      <c r="E5" s="17">
        <v>46084.316666666673</v>
      </c>
      <c r="F5" s="17">
        <v>46085.816666666673</v>
      </c>
      <c r="G5" s="17">
        <v>46089.816666666673</v>
      </c>
      <c r="H5" s="17">
        <v>46085.98333333333</v>
      </c>
      <c r="I5" s="17">
        <v>46088</v>
      </c>
      <c r="J5" s="31" t="s">
        <v>159</v>
      </c>
      <c r="K5" s="33" t="s">
        <v>31</v>
      </c>
      <c r="L5" s="30">
        <f>(Table8[[#This Row],[Garage_Booked_DateTime]] - Table8[[#This Row],[Defect_Reported_DateTime]])*24</f>
        <v>41.100000000384171</v>
      </c>
      <c r="M5" s="30" t="str">
        <f>IF(Table8[[#This Row],[Vehicle_Type]]&lt;&gt;"Specialised", "Not Applicable", IF(Table8[[#This Row],[Hours_To_Book]]&gt;48, "Yes", "No"))</f>
        <v>No</v>
      </c>
      <c r="N5" s="32">
        <f>(Table8[[#This Row],[Garage_Out_Date]]-Table8[[#This Row],[Garage_In_Date]])</f>
        <v>4</v>
      </c>
      <c r="O5" s="32" t="str">
        <f>IF(Table8[[#This Row],[Total_VOR_Days]] &gt;3.5, "Yes", "No")</f>
        <v>Yes</v>
      </c>
      <c r="P5" s="26" t="str">
        <f>IF(Table8[[#This Row],[Vehicle_Type]]&lt;&gt;"Specialised","Not Applicable", IF(Table8[[#This Row],[Hours_To_Book]]&gt;48, "Not Assessed", IF(Table8[[#This Row],[Total_VOR_Days]]&gt;3.5, "Ineffective", "Effective")))</f>
        <v>Ineffective</v>
      </c>
      <c r="Q5" s="44">
        <f>IF(OR(Table8[[#This Row],[Garage_In_Date]]="",Table8[[#This Row],[Actual_Repair_Start_Date]]=""),"N/A",(Table8[[#This Row],[Actual_Repair_Start_Date]]-Table8[[#This Row],[Garage_In_Date]])*24)</f>
        <v>3.9999999997671694</v>
      </c>
      <c r="R5" s="3"/>
    </row>
    <row r="6" spans="1:18" ht="24.95" customHeight="1">
      <c r="A6" s="22" t="s">
        <v>32</v>
      </c>
      <c r="B6" s="23" t="s">
        <v>14</v>
      </c>
      <c r="C6" s="23" t="s">
        <v>30</v>
      </c>
      <c r="D6" s="14">
        <v>46031.479166666657</v>
      </c>
      <c r="E6" s="14">
        <v>46032.783333333333</v>
      </c>
      <c r="F6" s="14">
        <v>46034.783333333333</v>
      </c>
      <c r="G6" s="14">
        <v>46041.283333333333</v>
      </c>
      <c r="H6" s="14">
        <v>46035.354166666657</v>
      </c>
      <c r="I6" s="14">
        <v>46039</v>
      </c>
      <c r="J6" s="25" t="s">
        <v>33</v>
      </c>
      <c r="K6" s="27" t="s">
        <v>18</v>
      </c>
      <c r="L6" s="24">
        <f>(Table8[[#This Row],[Garage_Booked_DateTime]] - Table8[[#This Row],[Defect_Reported_DateTime]])*24</f>
        <v>31.300000000221189</v>
      </c>
      <c r="M6" s="24" t="str">
        <f>IF(Table8[[#This Row],[Vehicle_Type]]&lt;&gt;"Specialised", "Not Applicable", IF(Table8[[#This Row],[Hours_To_Book]]&gt;48, "Yes", "No"))</f>
        <v>No</v>
      </c>
      <c r="N6" s="26">
        <f>(Table8[[#This Row],[Garage_Out_Date]]-Table8[[#This Row],[Garage_In_Date]])</f>
        <v>6.5</v>
      </c>
      <c r="O6" s="26" t="str">
        <f>IF(Table8[[#This Row],[Total_VOR_Days]] &gt;3.5, "Yes", "No")</f>
        <v>Yes</v>
      </c>
      <c r="P6" s="26" t="str">
        <f>IF(Table8[[#This Row],[Vehicle_Type]]&lt;&gt;"Specialised","Not Applicable", IF(Table8[[#This Row],[Hours_To_Book]]&gt;48, "Not Assessed", IF(Table8[[#This Row],[Total_VOR_Days]]&gt;3.5, "Ineffective", "Effective")))</f>
        <v>Ineffective</v>
      </c>
      <c r="Q6" s="44">
        <f>IF(OR(Table8[[#This Row],[Garage_In_Date]]="",Table8[[#This Row],[Actual_Repair_Start_Date]]=""),"N/A",(Table8[[#This Row],[Actual_Repair_Start_Date]]-Table8[[#This Row],[Garage_In_Date]])*24)</f>
        <v>13.699999999778811</v>
      </c>
      <c r="R6" s="3"/>
    </row>
    <row r="7" spans="1:18" ht="24.95" customHeight="1">
      <c r="A7" s="28" t="s">
        <v>34</v>
      </c>
      <c r="B7" s="29" t="s">
        <v>21</v>
      </c>
      <c r="C7" s="29" t="s">
        <v>22</v>
      </c>
      <c r="D7" s="17">
        <v>46097.614583333343</v>
      </c>
      <c r="E7" s="17">
        <v>46097.947916666657</v>
      </c>
      <c r="F7" s="17">
        <v>46098.114583333343</v>
      </c>
      <c r="G7" s="17">
        <v>46107.51458333333</v>
      </c>
      <c r="H7" s="17">
        <v>46098.114583333343</v>
      </c>
      <c r="I7" s="17">
        <v>46106</v>
      </c>
      <c r="J7" s="31" t="s">
        <v>36</v>
      </c>
      <c r="K7" s="33" t="s">
        <v>35</v>
      </c>
      <c r="L7" s="30">
        <f>(Table8[[#This Row],[Garage_Booked_DateTime]] - Table8[[#This Row],[Defect_Reported_DateTime]])*24</f>
        <v>7.9999999995343387</v>
      </c>
      <c r="M7" s="30" t="str">
        <f>IF(Table8[[#This Row],[Vehicle_Type]]&lt;&gt;"Specialised", "Not Applicable", IF(Table8[[#This Row],[Hours_To_Book]]&gt;48, "Yes", "No"))</f>
        <v>Not Applicable</v>
      </c>
      <c r="N7" s="32">
        <f>(Table8[[#This Row],[Garage_Out_Date]]-Table8[[#This Row],[Garage_In_Date]])</f>
        <v>9.3999999999869033</v>
      </c>
      <c r="O7" s="32" t="str">
        <f>IF(Table8[[#This Row],[Total_VOR_Days]] &gt;3.5, "Yes", "No")</f>
        <v>Yes</v>
      </c>
      <c r="P7" s="32" t="str">
        <f>IF(Table8[[#This Row],[Vehicle_Type]]&lt;&gt;"Specialised","Not Applicable", IF(Table8[[#This Row],[Hours_To_Book]]&gt;48, "Not Assessed", IF(Table8[[#This Row],[Total_VOR_Days]]&gt;3.5, "Ineffective", "Effective")))</f>
        <v>Not Applicable</v>
      </c>
      <c r="Q7" s="44">
        <f>IF(OR(Table8[[#This Row],[Garage_In_Date]]="",Table8[[#This Row],[Actual_Repair_Start_Date]]=""),"N/A",(Table8[[#This Row],[Actual_Repair_Start_Date]]-Table8[[#This Row],[Garage_In_Date]])*24)</f>
        <v>0</v>
      </c>
      <c r="R7" s="3"/>
    </row>
    <row r="8" spans="1:18" ht="24.95" customHeight="1">
      <c r="A8" s="22" t="s">
        <v>37</v>
      </c>
      <c r="B8" s="23" t="s">
        <v>21</v>
      </c>
      <c r="C8" s="23" t="s">
        <v>22</v>
      </c>
      <c r="D8" s="14">
        <v>46077.708333333343</v>
      </c>
      <c r="E8" s="14">
        <v>46079.074999999997</v>
      </c>
      <c r="F8" s="14">
        <v>46080.074999999997</v>
      </c>
      <c r="G8" s="14">
        <v>46086.074999999997</v>
      </c>
      <c r="H8" s="14">
        <v>46080.395833333343</v>
      </c>
      <c r="I8" s="14">
        <v>46085</v>
      </c>
      <c r="J8" s="25" t="s">
        <v>159</v>
      </c>
      <c r="K8" s="27" t="s">
        <v>38</v>
      </c>
      <c r="L8" s="24">
        <f>(Table8[[#This Row],[Garage_Booked_DateTime]] - Table8[[#This Row],[Defect_Reported_DateTime]])*24</f>
        <v>32.79999999969732</v>
      </c>
      <c r="M8" s="24" t="str">
        <f>IF(Table8[[#This Row],[Vehicle_Type]]&lt;&gt;"Specialised", "Not Applicable", IF(Table8[[#This Row],[Hours_To_Book]]&gt;48, "Yes", "No"))</f>
        <v>Not Applicable</v>
      </c>
      <c r="N8" s="26">
        <f>(Table8[[#This Row],[Garage_Out_Date]]-Table8[[#This Row],[Garage_In_Date]])</f>
        <v>6</v>
      </c>
      <c r="O8" s="26" t="str">
        <f>IF(Table8[[#This Row],[Total_VOR_Days]] &gt;3.5, "Yes", "No")</f>
        <v>Yes</v>
      </c>
      <c r="P8" s="26" t="str">
        <f>IF(Table8[[#This Row],[Vehicle_Type]]&lt;&gt;"Specialised","Not Applicable", IF(Table8[[#This Row],[Hours_To_Book]]&gt;48, "Not Assessed", IF(Table8[[#This Row],[Total_VOR_Days]]&gt;3.5, "Ineffective", "Effective")))</f>
        <v>Not Applicable</v>
      </c>
      <c r="Q8" s="44">
        <f>IF(OR(Table8[[#This Row],[Garage_In_Date]]="",Table8[[#This Row],[Actual_Repair_Start_Date]]=""),"N/A",(Table8[[#This Row],[Actual_Repair_Start_Date]]-Table8[[#This Row],[Garage_In_Date]])*24)</f>
        <v>7.7000000003026798</v>
      </c>
      <c r="R8" s="3"/>
    </row>
    <row r="9" spans="1:18" ht="24.95" customHeight="1">
      <c r="A9" s="28" t="s">
        <v>40</v>
      </c>
      <c r="B9" s="29" t="s">
        <v>21</v>
      </c>
      <c r="C9" s="29" t="s">
        <v>22</v>
      </c>
      <c r="D9" s="17">
        <v>46136.6875</v>
      </c>
      <c r="E9" s="17">
        <v>46139.074999999997</v>
      </c>
      <c r="F9" s="17">
        <v>46139.408333333333</v>
      </c>
      <c r="G9" s="17">
        <v>46141.808333333327</v>
      </c>
      <c r="H9" s="17">
        <v>46139.408333333333</v>
      </c>
      <c r="I9" s="17">
        <v>46140</v>
      </c>
      <c r="J9" s="31" t="s">
        <v>19</v>
      </c>
      <c r="K9" s="33" t="s">
        <v>18</v>
      </c>
      <c r="L9" s="30">
        <f>(Table8[[#This Row],[Garage_Booked_DateTime]] - Table8[[#This Row],[Defect_Reported_DateTime]])*24</f>
        <v>57.299999999930151</v>
      </c>
      <c r="M9" s="30" t="str">
        <f>IF(Table8[[#This Row],[Vehicle_Type]]&lt;&gt;"Specialised", "Not Applicable", IF(Table8[[#This Row],[Hours_To_Book]]&gt;48, "Yes", "No"))</f>
        <v>Not Applicable</v>
      </c>
      <c r="N9" s="32">
        <f>(Table8[[#This Row],[Garage_Out_Date]]-Table8[[#This Row],[Garage_In_Date]])</f>
        <v>2.3999999999941792</v>
      </c>
      <c r="O9" s="32" t="str">
        <f>IF(Table8[[#This Row],[Total_VOR_Days]] &gt;3.5, "Yes", "No")</f>
        <v>No</v>
      </c>
      <c r="P9" s="32" t="str">
        <f>IF(Table8[[#This Row],[Vehicle_Type]]&lt;&gt;"Specialised","Not Applicable", IF(Table8[[#This Row],[Hours_To_Book]]&gt;48, "Not Assessed", IF(Table8[[#This Row],[Total_VOR_Days]]&gt;3.5, "Ineffective", "Effective")))</f>
        <v>Not Applicable</v>
      </c>
      <c r="Q9" s="44">
        <f>IF(OR(Table8[[#This Row],[Garage_In_Date]]="",Table8[[#This Row],[Actual_Repair_Start_Date]]=""),"N/A",(Table8[[#This Row],[Actual_Repair_Start_Date]]-Table8[[#This Row],[Garage_In_Date]])*24)</f>
        <v>0</v>
      </c>
      <c r="R9" s="3"/>
    </row>
    <row r="10" spans="1:18" ht="24.95" customHeight="1">
      <c r="A10" s="22" t="s">
        <v>41</v>
      </c>
      <c r="B10" s="23" t="s">
        <v>21</v>
      </c>
      <c r="C10" s="23" t="s">
        <v>42</v>
      </c>
      <c r="D10" s="14">
        <v>46120.416666666657</v>
      </c>
      <c r="E10" s="14">
        <v>46123.237500000003</v>
      </c>
      <c r="F10" s="14">
        <v>46125.237500000003</v>
      </c>
      <c r="G10" s="14">
        <v>46128.237500000003</v>
      </c>
      <c r="H10" s="14">
        <v>46125.404166666667</v>
      </c>
      <c r="I10" s="14">
        <v>46128</v>
      </c>
      <c r="J10" s="25" t="s">
        <v>19</v>
      </c>
      <c r="K10" s="27" t="s">
        <v>27</v>
      </c>
      <c r="L10" s="24">
        <f>(Table8[[#This Row],[Garage_Booked_DateTime]] - Table8[[#This Row],[Defect_Reported_DateTime]])*24</f>
        <v>67.70000000030268</v>
      </c>
      <c r="M10" s="24" t="str">
        <f>IF(Table8[[#This Row],[Vehicle_Type]]&lt;&gt;"Specialised", "Not Applicable", IF(Table8[[#This Row],[Hours_To_Book]]&gt;48, "Yes", "No"))</f>
        <v>Not Applicable</v>
      </c>
      <c r="N10" s="26">
        <f>(Table8[[#This Row],[Garage_Out_Date]]-Table8[[#This Row],[Garage_In_Date]])</f>
        <v>3</v>
      </c>
      <c r="O10" s="26" t="str">
        <f>IF(Table8[[#This Row],[Total_VOR_Days]] &gt;3.5, "Yes", "No")</f>
        <v>No</v>
      </c>
      <c r="P10" s="26" t="str">
        <f>IF(Table8[[#This Row],[Vehicle_Type]]&lt;&gt;"Specialised","Not Applicable", IF(Table8[[#This Row],[Hours_To_Book]]&gt;48, "Not Assessed", IF(Table8[[#This Row],[Total_VOR_Days]]&gt;3.5, "Ineffective", "Effective")))</f>
        <v>Not Applicable</v>
      </c>
      <c r="Q10" s="44">
        <f>IF(OR(Table8[[#This Row],[Garage_In_Date]]="",Table8[[#This Row],[Actual_Repair_Start_Date]]=""),"N/A",(Table8[[#This Row],[Actual_Repair_Start_Date]]-Table8[[#This Row],[Garage_In_Date]])*24)</f>
        <v>3.9999999999417923</v>
      </c>
      <c r="R10" s="3"/>
    </row>
    <row r="11" spans="1:18" ht="24.95" customHeight="1">
      <c r="A11" s="28" t="s">
        <v>43</v>
      </c>
      <c r="B11" s="29" t="s">
        <v>21</v>
      </c>
      <c r="C11" s="29" t="s">
        <v>15</v>
      </c>
      <c r="D11" s="17">
        <v>46099.572916666657</v>
      </c>
      <c r="E11" s="17">
        <v>46103.956250000003</v>
      </c>
      <c r="F11" s="17">
        <v>46104.289583333331</v>
      </c>
      <c r="G11" s="17">
        <v>46109.089583333327</v>
      </c>
      <c r="H11" s="17">
        <v>46107.416666666657</v>
      </c>
      <c r="I11" s="17">
        <v>46110</v>
      </c>
      <c r="J11" s="31" t="s">
        <v>28</v>
      </c>
      <c r="K11" s="33" t="s">
        <v>44</v>
      </c>
      <c r="L11" s="30">
        <f>(Table8[[#This Row],[Garage_Booked_DateTime]] - Table8[[#This Row],[Defect_Reported_DateTime]])*24</f>
        <v>105.20000000030268</v>
      </c>
      <c r="M11" s="30" t="str">
        <f>IF(Table8[[#This Row],[Vehicle_Type]]&lt;&gt;"Specialised", "Not Applicable", IF(Table8[[#This Row],[Hours_To_Book]]&gt;48, "Yes", "No"))</f>
        <v>Not Applicable</v>
      </c>
      <c r="N11" s="32">
        <f>(Table8[[#This Row],[Garage_Out_Date]]-Table8[[#This Row],[Garage_In_Date]])</f>
        <v>4.7999999999956344</v>
      </c>
      <c r="O11" s="32" t="str">
        <f>IF(Table8[[#This Row],[Total_VOR_Days]] &gt;3.5, "Yes", "No")</f>
        <v>Yes</v>
      </c>
      <c r="P11" s="32" t="str">
        <f>IF(Table8[[#This Row],[Vehicle_Type]]&lt;&gt;"Specialised","Not Applicable", IF(Table8[[#This Row],[Hours_To_Book]]&gt;48, "Not Assessed", IF(Table8[[#This Row],[Total_VOR_Days]]&gt;3.5, "Ineffective", "Effective")))</f>
        <v>Not Applicable</v>
      </c>
      <c r="Q11" s="44">
        <f>IF(OR(Table8[[#This Row],[Garage_In_Date]]="",Table8[[#This Row],[Actual_Repair_Start_Date]]=""),"N/A",(Table8[[#This Row],[Actual_Repair_Start_Date]]-Table8[[#This Row],[Garage_In_Date]])*24)</f>
        <v>75.049999999813735</v>
      </c>
      <c r="R11" s="3"/>
    </row>
    <row r="12" spans="1:18" ht="24.95" customHeight="1">
      <c r="A12" s="22" t="s">
        <v>45</v>
      </c>
      <c r="B12" s="23" t="s">
        <v>21</v>
      </c>
      <c r="C12" s="23" t="s">
        <v>15</v>
      </c>
      <c r="D12" s="14">
        <v>46120.677083333343</v>
      </c>
      <c r="E12" s="14">
        <v>46123.689583333333</v>
      </c>
      <c r="F12" s="14">
        <v>46125.189583333333</v>
      </c>
      <c r="G12" s="14">
        <v>46130.989583333343</v>
      </c>
      <c r="H12" s="14">
        <v>46125.385416666657</v>
      </c>
      <c r="I12" s="14">
        <v>46130</v>
      </c>
      <c r="J12" s="25" t="s">
        <v>36</v>
      </c>
      <c r="K12" s="27" t="s">
        <v>27</v>
      </c>
      <c r="L12" s="24">
        <f>(Table8[[#This Row],[Garage_Booked_DateTime]] - Table8[[#This Row],[Defect_Reported_DateTime]])*24</f>
        <v>72.299999999755528</v>
      </c>
      <c r="M12" s="24" t="str">
        <f>IF(Table8[[#This Row],[Vehicle_Type]]&lt;&gt;"Specialised", "Not Applicable", IF(Table8[[#This Row],[Hours_To_Book]]&gt;48, "Yes", "No"))</f>
        <v>Not Applicable</v>
      </c>
      <c r="N12" s="26">
        <f>(Table8[[#This Row],[Garage_Out_Date]]-Table8[[#This Row],[Garage_In_Date]])</f>
        <v>5.8000000000101863</v>
      </c>
      <c r="O12" s="26" t="str">
        <f>IF(Table8[[#This Row],[Total_VOR_Days]] &gt;3.5, "Yes", "No")</f>
        <v>Yes</v>
      </c>
      <c r="P12" s="26" t="str">
        <f>IF(Table8[[#This Row],[Vehicle_Type]]&lt;&gt;"Specialised","Not Applicable", IF(Table8[[#This Row],[Hours_To_Book]]&gt;48, "Not Assessed", IF(Table8[[#This Row],[Total_VOR_Days]]&gt;3.5, "Ineffective", "Effective")))</f>
        <v>Not Applicable</v>
      </c>
      <c r="Q12" s="44">
        <f>IF(OR(Table8[[#This Row],[Garage_In_Date]]="",Table8[[#This Row],[Actual_Repair_Start_Date]]=""),"N/A",(Table8[[#This Row],[Actual_Repair_Start_Date]]-Table8[[#This Row],[Garage_In_Date]])*24)</f>
        <v>4.6999999997788109</v>
      </c>
      <c r="R12" s="3"/>
    </row>
    <row r="13" spans="1:18" ht="24.95" customHeight="1">
      <c r="A13" s="28" t="s">
        <v>46</v>
      </c>
      <c r="B13" s="29" t="s">
        <v>14</v>
      </c>
      <c r="C13" s="29" t="s">
        <v>26</v>
      </c>
      <c r="D13" s="17">
        <v>46114.53125</v>
      </c>
      <c r="E13" s="17">
        <v>46116.252083333333</v>
      </c>
      <c r="F13" s="17">
        <v>46117.252083333333</v>
      </c>
      <c r="G13" s="17">
        <v>46121.352083333331</v>
      </c>
      <c r="H13" s="17">
        <v>46117.252083333333</v>
      </c>
      <c r="I13" s="17">
        <v>46119</v>
      </c>
      <c r="J13" s="31" t="s">
        <v>36</v>
      </c>
      <c r="K13" s="33" t="s">
        <v>31</v>
      </c>
      <c r="L13" s="30">
        <f>(Table8[[#This Row],[Garage_Booked_DateTime]] - Table8[[#This Row],[Defect_Reported_DateTime]])*24</f>
        <v>41.299999999988358</v>
      </c>
      <c r="M13" s="30" t="str">
        <f>IF(Table8[[#This Row],[Vehicle_Type]]&lt;&gt;"Specialised", "Not Applicable", IF(Table8[[#This Row],[Hours_To_Book]]&gt;48, "Yes", "No"))</f>
        <v>No</v>
      </c>
      <c r="N13" s="32">
        <f>(Table8[[#This Row],[Garage_Out_Date]]-Table8[[#This Row],[Garage_In_Date]])</f>
        <v>4.0999999999985448</v>
      </c>
      <c r="O13" s="32" t="str">
        <f>IF(Table8[[#This Row],[Total_VOR_Days]] &gt;3.5, "Yes", "No")</f>
        <v>Yes</v>
      </c>
      <c r="P13" s="32" t="str">
        <f>IF(Table8[[#This Row],[Vehicle_Type]]&lt;&gt;"Specialised","Not Applicable", IF(Table8[[#This Row],[Hours_To_Book]]&gt;48, "Not Assessed", IF(Table8[[#This Row],[Total_VOR_Days]]&gt;3.5, "Ineffective", "Effective")))</f>
        <v>Ineffective</v>
      </c>
      <c r="Q13" s="44">
        <f>IF(OR(Table8[[#This Row],[Garage_In_Date]]="",Table8[[#This Row],[Actual_Repair_Start_Date]]=""),"N/A",(Table8[[#This Row],[Actual_Repair_Start_Date]]-Table8[[#This Row],[Garage_In_Date]])*24)</f>
        <v>0</v>
      </c>
      <c r="R13" s="3"/>
    </row>
    <row r="14" spans="1:18" ht="24.95" customHeight="1">
      <c r="A14" s="22" t="s">
        <v>47</v>
      </c>
      <c r="B14" s="23" t="s">
        <v>21</v>
      </c>
      <c r="C14" s="23" t="s">
        <v>42</v>
      </c>
      <c r="D14" s="14">
        <v>46093.46875</v>
      </c>
      <c r="E14" s="14">
        <v>46097.197916666657</v>
      </c>
      <c r="F14" s="14">
        <v>46097.197916666657</v>
      </c>
      <c r="G14" s="14">
        <v>46101.497916666667</v>
      </c>
      <c r="H14" s="14">
        <v>46097.364583333343</v>
      </c>
      <c r="I14" s="14">
        <v>46100</v>
      </c>
      <c r="J14" s="25" t="s">
        <v>28</v>
      </c>
      <c r="K14" s="27" t="s">
        <v>48</v>
      </c>
      <c r="L14" s="24">
        <f>(Table8[[#This Row],[Garage_Booked_DateTime]] - Table8[[#This Row],[Defect_Reported_DateTime]])*24</f>
        <v>89.499999999767169</v>
      </c>
      <c r="M14" s="24" t="str">
        <f>IF(Table8[[#This Row],[Vehicle_Type]]&lt;&gt;"Specialised", "Not Applicable", IF(Table8[[#This Row],[Hours_To_Book]]&gt;48, "Yes", "No"))</f>
        <v>Not Applicable</v>
      </c>
      <c r="N14" s="26">
        <f>(Table8[[#This Row],[Garage_Out_Date]]-Table8[[#This Row],[Garage_In_Date]])</f>
        <v>4.3000000000101863</v>
      </c>
      <c r="O14" s="26" t="str">
        <f>IF(Table8[[#This Row],[Total_VOR_Days]] &gt;3.5, "Yes", "No")</f>
        <v>Yes</v>
      </c>
      <c r="P14" s="26" t="str">
        <f>IF(Table8[[#This Row],[Vehicle_Type]]&lt;&gt;"Specialised","Not Applicable", IF(Table8[[#This Row],[Hours_To_Book]]&gt;48, "Not Assessed", IF(Table8[[#This Row],[Total_VOR_Days]]&gt;3.5, "Ineffective", "Effective")))</f>
        <v>Not Applicable</v>
      </c>
      <c r="Q14" s="44">
        <f>IF(OR(Table8[[#This Row],[Garage_In_Date]]="",Table8[[#This Row],[Actual_Repair_Start_Date]]=""),"N/A",(Table8[[#This Row],[Actual_Repair_Start_Date]]-Table8[[#This Row],[Garage_In_Date]])*24)</f>
        <v>4.0000000004656613</v>
      </c>
      <c r="R14" s="3"/>
    </row>
    <row r="15" spans="1:18" ht="24.95" customHeight="1">
      <c r="A15" s="28" t="s">
        <v>49</v>
      </c>
      <c r="B15" s="29" t="s">
        <v>14</v>
      </c>
      <c r="C15" s="29" t="s">
        <v>26</v>
      </c>
      <c r="D15" s="17">
        <v>46050.677083333343</v>
      </c>
      <c r="E15" s="17">
        <v>46051.76458333333</v>
      </c>
      <c r="F15" s="17">
        <v>46053.26458333333</v>
      </c>
      <c r="G15" s="17">
        <v>46053.76458333333</v>
      </c>
      <c r="H15" s="17">
        <v>46053.26458333333</v>
      </c>
      <c r="I15" s="17">
        <v>46053</v>
      </c>
      <c r="J15" s="31" t="s">
        <v>19</v>
      </c>
      <c r="K15" s="33" t="s">
        <v>38</v>
      </c>
      <c r="L15" s="30">
        <f>(Table8[[#This Row],[Garage_Booked_DateTime]] - Table8[[#This Row],[Defect_Reported_DateTime]])*24</f>
        <v>26.099999999685679</v>
      </c>
      <c r="M15" s="30" t="str">
        <f>IF(Table8[[#This Row],[Vehicle_Type]]&lt;&gt;"Specialised", "Not Applicable", IF(Table8[[#This Row],[Hours_To_Book]]&gt;48, "Yes", "No"))</f>
        <v>No</v>
      </c>
      <c r="N15" s="32">
        <f>(Table8[[#This Row],[Garage_Out_Date]]-Table8[[#This Row],[Garage_In_Date]])</f>
        <v>0.5</v>
      </c>
      <c r="O15" s="32" t="str">
        <f>IF(Table8[[#This Row],[Total_VOR_Days]] &gt;3.5, "Yes", "No")</f>
        <v>No</v>
      </c>
      <c r="P15" s="32" t="str">
        <f>IF(Table8[[#This Row],[Vehicle_Type]]&lt;&gt;"Specialised","Not Applicable", IF(Table8[[#This Row],[Hours_To_Book]]&gt;48, "Not Assessed", IF(Table8[[#This Row],[Total_VOR_Days]]&gt;3.5, "Ineffective", "Effective")))</f>
        <v>Effective</v>
      </c>
      <c r="Q15" s="44">
        <f>IF(OR(Table8[[#This Row],[Garage_In_Date]]="",Table8[[#This Row],[Actual_Repair_Start_Date]]=""),"N/A",(Table8[[#This Row],[Actual_Repair_Start_Date]]-Table8[[#This Row],[Garage_In_Date]])*24)</f>
        <v>0</v>
      </c>
      <c r="R15" s="3"/>
    </row>
    <row r="16" spans="1:18" ht="24.95" customHeight="1">
      <c r="A16" s="22" t="s">
        <v>50</v>
      </c>
      <c r="B16" s="23" t="s">
        <v>14</v>
      </c>
      <c r="C16" s="23" t="s">
        <v>30</v>
      </c>
      <c r="D16" s="14">
        <v>46077.614583333343</v>
      </c>
      <c r="E16" s="14">
        <v>46078.902083333327</v>
      </c>
      <c r="F16" s="14">
        <v>46080.902083333327</v>
      </c>
      <c r="G16" s="14">
        <v>46084.602083333331</v>
      </c>
      <c r="H16" s="14">
        <v>46080.902083333327</v>
      </c>
      <c r="I16" s="14">
        <v>46082</v>
      </c>
      <c r="J16" s="25" t="s">
        <v>36</v>
      </c>
      <c r="K16" s="27" t="s">
        <v>38</v>
      </c>
      <c r="L16" s="24">
        <f>(Table8[[#This Row],[Garage_Booked_DateTime]] - Table8[[#This Row],[Defect_Reported_DateTime]])*24</f>
        <v>30.899999999615829</v>
      </c>
      <c r="M16" s="24" t="str">
        <f>IF(Table8[[#This Row],[Vehicle_Type]]&lt;&gt;"Specialised", "Not Applicable", IF(Table8[[#This Row],[Hours_To_Book]]&gt;48, "Yes", "No"))</f>
        <v>No</v>
      </c>
      <c r="N16" s="26">
        <f>(Table8[[#This Row],[Garage_Out_Date]]-Table8[[#This Row],[Garage_In_Date]])</f>
        <v>3.7000000000043656</v>
      </c>
      <c r="O16" s="26" t="str">
        <f>IF(Table8[[#This Row],[Total_VOR_Days]] &gt;3.5, "Yes", "No")</f>
        <v>Yes</v>
      </c>
      <c r="P16" s="26" t="str">
        <f>IF(Table8[[#This Row],[Vehicle_Type]]&lt;&gt;"Specialised","Not Applicable", IF(Table8[[#This Row],[Hours_To_Book]]&gt;48, "Not Assessed", IF(Table8[[#This Row],[Total_VOR_Days]]&gt;3.5, "Ineffective", "Effective")))</f>
        <v>Ineffective</v>
      </c>
      <c r="Q16" s="44">
        <f>IF(OR(Table8[[#This Row],[Garage_In_Date]]="",Table8[[#This Row],[Actual_Repair_Start_Date]]=""),"N/A",(Table8[[#This Row],[Actual_Repair_Start_Date]]-Table8[[#This Row],[Garage_In_Date]])*24)</f>
        <v>0</v>
      </c>
      <c r="R16" s="3"/>
    </row>
    <row r="17" spans="1:18" ht="24.95" customHeight="1">
      <c r="A17" s="28" t="s">
        <v>51</v>
      </c>
      <c r="B17" s="29" t="s">
        <v>21</v>
      </c>
      <c r="C17" s="29" t="s">
        <v>30</v>
      </c>
      <c r="D17" s="17">
        <v>46047.489583333343</v>
      </c>
      <c r="E17" s="17">
        <v>46050.152083333327</v>
      </c>
      <c r="F17" s="17">
        <v>46051.152083333327</v>
      </c>
      <c r="G17" s="17">
        <v>46056.352083333331</v>
      </c>
      <c r="H17" s="17">
        <v>46051.318749999999</v>
      </c>
      <c r="I17" s="17">
        <v>46056</v>
      </c>
      <c r="J17" s="31" t="s">
        <v>28</v>
      </c>
      <c r="K17" s="33" t="s">
        <v>27</v>
      </c>
      <c r="L17" s="30">
        <f>(Table8[[#This Row],[Garage_Booked_DateTime]] - Table8[[#This Row],[Defect_Reported_DateTime]])*24</f>
        <v>63.899999999615829</v>
      </c>
      <c r="M17" s="30" t="str">
        <f>IF(Table8[[#This Row],[Vehicle_Type]]&lt;&gt;"Specialised", "Not Applicable", IF(Table8[[#This Row],[Hours_To_Book]]&gt;48, "Yes", "No"))</f>
        <v>Not Applicable</v>
      </c>
      <c r="N17" s="32">
        <f>(Table8[[#This Row],[Garage_Out_Date]]-Table8[[#This Row],[Garage_In_Date]])</f>
        <v>5.2000000000043656</v>
      </c>
      <c r="O17" s="32" t="str">
        <f>IF(Table8[[#This Row],[Total_VOR_Days]] &gt;3.5, "Yes", "No")</f>
        <v>Yes</v>
      </c>
      <c r="P17" s="32" t="str">
        <f>IF(Table8[[#This Row],[Vehicle_Type]]&lt;&gt;"Specialised","Not Applicable", IF(Table8[[#This Row],[Hours_To_Book]]&gt;48, "Not Assessed", IF(Table8[[#This Row],[Total_VOR_Days]]&gt;3.5, "Ineffective", "Effective")))</f>
        <v>Not Applicable</v>
      </c>
      <c r="Q17" s="44">
        <f>IF(OR(Table8[[#This Row],[Garage_In_Date]]="",Table8[[#This Row],[Actual_Repair_Start_Date]]=""),"N/A",(Table8[[#This Row],[Actual_Repair_Start_Date]]-Table8[[#This Row],[Garage_In_Date]])*24)</f>
        <v>4.0000000001164153</v>
      </c>
      <c r="R17" s="3"/>
    </row>
    <row r="18" spans="1:18" ht="24.95" customHeight="1">
      <c r="A18" s="22" t="s">
        <v>52</v>
      </c>
      <c r="B18" s="23" t="s">
        <v>21</v>
      </c>
      <c r="C18" s="23" t="s">
        <v>15</v>
      </c>
      <c r="D18" s="14">
        <v>46029.666666666657</v>
      </c>
      <c r="E18" s="14">
        <v>46034.012499999997</v>
      </c>
      <c r="F18" s="14">
        <v>46034.179166666669</v>
      </c>
      <c r="G18" s="14">
        <v>46037.479166666657</v>
      </c>
      <c r="H18" s="14">
        <v>46036.354166666657</v>
      </c>
      <c r="I18" s="14">
        <v>46035</v>
      </c>
      <c r="J18" s="25" t="s">
        <v>19</v>
      </c>
      <c r="K18" s="27" t="s">
        <v>31</v>
      </c>
      <c r="L18" s="24">
        <f>(Table8[[#This Row],[Garage_Booked_DateTime]] - Table8[[#This Row],[Defect_Reported_DateTime]])*24</f>
        <v>104.30000000016298</v>
      </c>
      <c r="M18" s="24" t="str">
        <f>IF(Table8[[#This Row],[Vehicle_Type]]&lt;&gt;"Specialised", "Not Applicable", IF(Table8[[#This Row],[Hours_To_Book]]&gt;48, "Yes", "No"))</f>
        <v>Not Applicable</v>
      </c>
      <c r="N18" s="26">
        <f>(Table8[[#This Row],[Garage_Out_Date]]-Table8[[#This Row],[Garage_In_Date]])</f>
        <v>3.2999999999883585</v>
      </c>
      <c r="O18" s="26" t="str">
        <f>IF(Table8[[#This Row],[Total_VOR_Days]] &gt;3.5, "Yes", "No")</f>
        <v>No</v>
      </c>
      <c r="P18" s="26" t="str">
        <f>IF(Table8[[#This Row],[Vehicle_Type]]&lt;&gt;"Specialised","Not Applicable", IF(Table8[[#This Row],[Hours_To_Book]]&gt;48, "Not Assessed", IF(Table8[[#This Row],[Total_VOR_Days]]&gt;3.5, "Ineffective", "Effective")))</f>
        <v>Not Applicable</v>
      </c>
      <c r="Q18" s="44">
        <f>IF(OR(Table8[[#This Row],[Garage_In_Date]]="",Table8[[#This Row],[Actual_Repair_Start_Date]]=""),"N/A",(Table8[[#This Row],[Actual_Repair_Start_Date]]-Table8[[#This Row],[Garage_In_Date]])*24)</f>
        <v>52.199999999720603</v>
      </c>
      <c r="R18" s="3"/>
    </row>
    <row r="19" spans="1:18" ht="24.95" customHeight="1">
      <c r="A19" s="28" t="s">
        <v>53</v>
      </c>
      <c r="B19" s="29" t="s">
        <v>14</v>
      </c>
      <c r="C19" s="29" t="s">
        <v>30</v>
      </c>
      <c r="D19" s="17">
        <v>46072.53125</v>
      </c>
      <c r="E19" s="17">
        <v>46073.618750000001</v>
      </c>
      <c r="F19" s="17">
        <v>46075.618750000001</v>
      </c>
      <c r="G19" s="17">
        <v>46082.818749999999</v>
      </c>
      <c r="H19" s="17"/>
      <c r="I19" s="17"/>
      <c r="J19" s="31" t="s">
        <v>163</v>
      </c>
      <c r="K19" s="33" t="s">
        <v>18</v>
      </c>
      <c r="L19" s="30">
        <f>(Table8[[#This Row],[Garage_Booked_DateTime]] - Table8[[#This Row],[Defect_Reported_DateTime]])*24</f>
        <v>26.100000000034925</v>
      </c>
      <c r="M19" s="30" t="str">
        <f>IF(Table8[[#This Row],[Vehicle_Type]]&lt;&gt;"Specialised", "Not Applicable", IF(Table8[[#This Row],[Hours_To_Book]]&gt;48, "Yes", "No"))</f>
        <v>No</v>
      </c>
      <c r="N19" s="32">
        <f>(Table8[[#This Row],[Garage_Out_Date]]-Table8[[#This Row],[Garage_In_Date]])</f>
        <v>7.1999999999970896</v>
      </c>
      <c r="O19" s="32" t="str">
        <f>IF(Table8[[#This Row],[Total_VOR_Days]] &gt;3.5, "Yes", "No")</f>
        <v>Yes</v>
      </c>
      <c r="P19" s="32" t="str">
        <f>IF(Table8[[#This Row],[Vehicle_Type]]&lt;&gt;"Specialised","Not Applicable", IF(Table8[[#This Row],[Hours_To_Book]]&gt;48, "Not Assessed", IF(Table8[[#This Row],[Total_VOR_Days]]&gt;3.5, "Ineffective", "Effective")))</f>
        <v>Ineffective</v>
      </c>
      <c r="Q19" s="44" t="str">
        <f>IF(OR(Table8[[#This Row],[Garage_In_Date]]="",Table8[[#This Row],[Actual_Repair_Start_Date]]=""),"N/A",(Table8[[#This Row],[Actual_Repair_Start_Date]]-Table8[[#This Row],[Garage_In_Date]])*24)</f>
        <v>N/A</v>
      </c>
      <c r="R19" s="3"/>
    </row>
    <row r="20" spans="1:18" ht="24.95" customHeight="1">
      <c r="A20" s="22" t="s">
        <v>55</v>
      </c>
      <c r="B20" s="23" t="s">
        <v>21</v>
      </c>
      <c r="C20" s="23" t="s">
        <v>30</v>
      </c>
      <c r="D20" s="14">
        <v>46030.708333333343</v>
      </c>
      <c r="E20" s="14">
        <v>46032.995833333327</v>
      </c>
      <c r="F20" s="14">
        <v>46034.495833333327</v>
      </c>
      <c r="G20" s="14">
        <v>46037.995833333327</v>
      </c>
      <c r="H20" s="14">
        <v>46036.4375</v>
      </c>
      <c r="I20" s="14">
        <v>46036</v>
      </c>
      <c r="J20" s="25" t="s">
        <v>19</v>
      </c>
      <c r="K20" s="27" t="s">
        <v>27</v>
      </c>
      <c r="L20" s="24">
        <f>(Table8[[#This Row],[Garage_Booked_DateTime]] - Table8[[#This Row],[Defect_Reported_DateTime]])*24</f>
        <v>54.899999999615829</v>
      </c>
      <c r="M20" s="24" t="str">
        <f>IF(Table8[[#This Row],[Vehicle_Type]]&lt;&gt;"Specialised", "Not Applicable", IF(Table8[[#This Row],[Hours_To_Book]]&gt;48, "Yes", "No"))</f>
        <v>Not Applicable</v>
      </c>
      <c r="N20" s="26">
        <f>(Table8[[#This Row],[Garage_Out_Date]]-Table8[[#This Row],[Garage_In_Date]])</f>
        <v>3.5</v>
      </c>
      <c r="O20" s="26" t="str">
        <f>IF(Table8[[#This Row],[Total_VOR_Days]] &gt;3.5, "Yes", "No")</f>
        <v>No</v>
      </c>
      <c r="P20" s="26" t="str">
        <f>IF(Table8[[#This Row],[Vehicle_Type]]&lt;&gt;"Specialised","Not Applicable", IF(Table8[[#This Row],[Hours_To_Book]]&gt;48, "Not Assessed", IF(Table8[[#This Row],[Total_VOR_Days]]&gt;3.5, "Ineffective", "Effective")))</f>
        <v>Not Applicable</v>
      </c>
      <c r="Q20" s="44">
        <f>IF(OR(Table8[[#This Row],[Garage_In_Date]]="",Table8[[#This Row],[Actual_Repair_Start_Date]]=""),"N/A",(Table8[[#This Row],[Actual_Repair_Start_Date]]-Table8[[#This Row],[Garage_In_Date]])*24)</f>
        <v>46.60000000015134</v>
      </c>
      <c r="R20" s="3"/>
    </row>
    <row r="21" spans="1:18" ht="24.95" customHeight="1">
      <c r="A21" s="28" t="s">
        <v>56</v>
      </c>
      <c r="B21" s="29" t="s">
        <v>14</v>
      </c>
      <c r="C21" s="29" t="s">
        <v>42</v>
      </c>
      <c r="D21" s="17">
        <v>46031.708333333343</v>
      </c>
      <c r="E21" s="17">
        <v>46032.800000000003</v>
      </c>
      <c r="F21" s="17">
        <v>46032.800000000003</v>
      </c>
      <c r="G21" s="17">
        <v>46035.7</v>
      </c>
      <c r="H21" s="17">
        <v>46033.166666666657</v>
      </c>
      <c r="I21" s="17">
        <v>46034</v>
      </c>
      <c r="J21" s="31" t="s">
        <v>19</v>
      </c>
      <c r="K21" s="33" t="s">
        <v>38</v>
      </c>
      <c r="L21" s="30">
        <f>(Table8[[#This Row],[Garage_Booked_DateTime]] - Table8[[#This Row],[Defect_Reported_DateTime]])*24</f>
        <v>26.199999999837019</v>
      </c>
      <c r="M21" s="30" t="str">
        <f>IF(Table8[[#This Row],[Vehicle_Type]]&lt;&gt;"Specialised", "Not Applicable", IF(Table8[[#This Row],[Hours_To_Book]]&gt;48, "Yes", "No"))</f>
        <v>No</v>
      </c>
      <c r="N21" s="32">
        <f>(Table8[[#This Row],[Garage_Out_Date]]-Table8[[#This Row],[Garage_In_Date]])</f>
        <v>2.8999999999941792</v>
      </c>
      <c r="O21" s="32" t="str">
        <f>IF(Table8[[#This Row],[Total_VOR_Days]] &gt;3.5, "Yes", "No")</f>
        <v>No</v>
      </c>
      <c r="P21" s="32" t="str">
        <f>IF(Table8[[#This Row],[Vehicle_Type]]&lt;&gt;"Specialised","Not Applicable", IF(Table8[[#This Row],[Hours_To_Book]]&gt;48, "Not Assessed", IF(Table8[[#This Row],[Total_VOR_Days]]&gt;3.5, "Ineffective", "Effective")))</f>
        <v>Effective</v>
      </c>
      <c r="Q21" s="44">
        <f>IF(OR(Table8[[#This Row],[Garage_In_Date]]="",Table8[[#This Row],[Actual_Repair_Start_Date]]=""),"N/A",(Table8[[#This Row],[Actual_Repair_Start_Date]]-Table8[[#This Row],[Garage_In_Date]])*24)</f>
        <v>8.7999999996973202</v>
      </c>
      <c r="R21" s="3"/>
    </row>
    <row r="22" spans="1:18" ht="24.95" customHeight="1">
      <c r="A22" s="22" t="s">
        <v>57</v>
      </c>
      <c r="B22" s="23" t="s">
        <v>14</v>
      </c>
      <c r="C22" s="23" t="s">
        <v>26</v>
      </c>
      <c r="D22" s="14">
        <v>46095.6875</v>
      </c>
      <c r="E22" s="14">
        <v>46097.116666666669</v>
      </c>
      <c r="F22" s="14">
        <v>46099.116666666669</v>
      </c>
      <c r="G22" s="14">
        <v>46102.816666666673</v>
      </c>
      <c r="H22" s="14">
        <v>46100.4375</v>
      </c>
      <c r="I22" s="14">
        <v>46101</v>
      </c>
      <c r="J22" s="25" t="s">
        <v>28</v>
      </c>
      <c r="K22" s="27" t="s">
        <v>44</v>
      </c>
      <c r="L22" s="24">
        <f>(Table8[[#This Row],[Garage_Booked_DateTime]] - Table8[[#This Row],[Defect_Reported_DateTime]])*24</f>
        <v>34.300000000046566</v>
      </c>
      <c r="M22" s="24" t="str">
        <f>IF(Table8[[#This Row],[Vehicle_Type]]&lt;&gt;"Specialised", "Not Applicable", IF(Table8[[#This Row],[Hours_To_Book]]&gt;48, "Yes", "No"))</f>
        <v>No</v>
      </c>
      <c r="N22" s="26">
        <f>(Table8[[#This Row],[Garage_Out_Date]]-Table8[[#This Row],[Garage_In_Date]])</f>
        <v>3.7000000000043656</v>
      </c>
      <c r="O22" s="26" t="str">
        <f>IF(Table8[[#This Row],[Total_VOR_Days]] &gt;3.5, "Yes", "No")</f>
        <v>Yes</v>
      </c>
      <c r="P22" s="26" t="str">
        <f>IF(Table8[[#This Row],[Vehicle_Type]]&lt;&gt;"Specialised","Not Applicable", IF(Table8[[#This Row],[Hours_To_Book]]&gt;48, "Not Assessed", IF(Table8[[#This Row],[Total_VOR_Days]]&gt;3.5, "Ineffective", "Effective")))</f>
        <v>Ineffective</v>
      </c>
      <c r="Q22" s="44">
        <f>IF(OR(Table8[[#This Row],[Garage_In_Date]]="",Table8[[#This Row],[Actual_Repair_Start_Date]]=""),"N/A",(Table8[[#This Row],[Actual_Repair_Start_Date]]-Table8[[#This Row],[Garage_In_Date]])*24)</f>
        <v>31.699999999953434</v>
      </c>
      <c r="R22" s="3"/>
    </row>
    <row r="23" spans="1:18" ht="24.95" customHeight="1">
      <c r="A23" s="28" t="s">
        <v>58</v>
      </c>
      <c r="B23" s="29" t="s">
        <v>21</v>
      </c>
      <c r="C23" s="29" t="s">
        <v>26</v>
      </c>
      <c r="D23" s="17">
        <v>46141.375</v>
      </c>
      <c r="E23" s="17">
        <v>46141.708333333343</v>
      </c>
      <c r="F23" s="17">
        <v>46141.708333333343</v>
      </c>
      <c r="G23" s="17">
        <v>46151.808333333327</v>
      </c>
      <c r="H23" s="17">
        <v>46142.375</v>
      </c>
      <c r="I23" s="17">
        <v>46151</v>
      </c>
      <c r="J23" s="31" t="s">
        <v>159</v>
      </c>
      <c r="K23" s="33" t="s">
        <v>48</v>
      </c>
      <c r="L23" s="30">
        <f>(Table8[[#This Row],[Garage_Booked_DateTime]] - Table8[[#This Row],[Defect_Reported_DateTime]])*24</f>
        <v>8.0000000002328306</v>
      </c>
      <c r="M23" s="30" t="str">
        <f>IF(Table8[[#This Row],[Vehicle_Type]]&lt;&gt;"Specialised", "Not Applicable", IF(Table8[[#This Row],[Hours_To_Book]]&gt;48, "Yes", "No"))</f>
        <v>Not Applicable</v>
      </c>
      <c r="N23" s="32">
        <f>(Table8[[#This Row],[Garage_Out_Date]]-Table8[[#This Row],[Garage_In_Date]])</f>
        <v>10.099999999983993</v>
      </c>
      <c r="O23" s="32" t="str">
        <f>IF(Table8[[#This Row],[Total_VOR_Days]] &gt;3.5, "Yes", "No")</f>
        <v>Yes</v>
      </c>
      <c r="P23" s="32" t="str">
        <f>IF(Table8[[#This Row],[Vehicle_Type]]&lt;&gt;"Specialised","Not Applicable", IF(Table8[[#This Row],[Hours_To_Book]]&gt;48, "Not Assessed", IF(Table8[[#This Row],[Total_VOR_Days]]&gt;3.5, "Ineffective", "Effective")))</f>
        <v>Not Applicable</v>
      </c>
      <c r="Q23" s="44">
        <f>IF(OR(Table8[[#This Row],[Garage_In_Date]]="",Table8[[#This Row],[Actual_Repair_Start_Date]]=""),"N/A",(Table8[[#This Row],[Actual_Repair_Start_Date]]-Table8[[#This Row],[Garage_In_Date]])*24)</f>
        <v>15.999999999767169</v>
      </c>
      <c r="R23" s="3"/>
    </row>
    <row r="24" spans="1:18" ht="24.95" customHeight="1">
      <c r="A24" s="22" t="s">
        <v>59</v>
      </c>
      <c r="B24" s="23" t="s">
        <v>21</v>
      </c>
      <c r="C24" s="23" t="s">
        <v>26</v>
      </c>
      <c r="D24" s="14">
        <v>46059.447916666657</v>
      </c>
      <c r="E24" s="14">
        <v>46062.456250000003</v>
      </c>
      <c r="F24" s="14">
        <v>46063.956250000003</v>
      </c>
      <c r="G24" s="14">
        <v>46065.456250000003</v>
      </c>
      <c r="H24" s="14">
        <v>46064.354166666657</v>
      </c>
      <c r="I24" s="14">
        <v>46064</v>
      </c>
      <c r="J24" s="25" t="s">
        <v>19</v>
      </c>
      <c r="K24" s="27" t="s">
        <v>27</v>
      </c>
      <c r="L24" s="24">
        <f>(Table8[[#This Row],[Garage_Booked_DateTime]] - Table8[[#This Row],[Defect_Reported_DateTime]])*24</f>
        <v>72.20000000030268</v>
      </c>
      <c r="M24" s="24" t="str">
        <f>IF(Table8[[#This Row],[Vehicle_Type]]&lt;&gt;"Specialised", "Not Applicable", IF(Table8[[#This Row],[Hours_To_Book]]&gt;48, "Yes", "No"))</f>
        <v>Not Applicable</v>
      </c>
      <c r="N24" s="26">
        <f>(Table8[[#This Row],[Garage_Out_Date]]-Table8[[#This Row],[Garage_In_Date]])</f>
        <v>1.5</v>
      </c>
      <c r="O24" s="26" t="str">
        <f>IF(Table8[[#This Row],[Total_VOR_Days]] &gt;3.5, "Yes", "No")</f>
        <v>No</v>
      </c>
      <c r="P24" s="26" t="str">
        <f>IF(Table8[[#This Row],[Vehicle_Type]]&lt;&gt;"Specialised","Not Applicable", IF(Table8[[#This Row],[Hours_To_Book]]&gt;48, "Not Assessed", IF(Table8[[#This Row],[Total_VOR_Days]]&gt;3.5, "Ineffective", "Effective")))</f>
        <v>Not Applicable</v>
      </c>
      <c r="Q24" s="44">
        <f>IF(OR(Table8[[#This Row],[Garage_In_Date]]="",Table8[[#This Row],[Actual_Repair_Start_Date]]=""),"N/A",(Table8[[#This Row],[Actual_Repair_Start_Date]]-Table8[[#This Row],[Garage_In_Date]])*24)</f>
        <v>9.5499999996973202</v>
      </c>
      <c r="R24" s="3"/>
    </row>
    <row r="25" spans="1:18" ht="24.95" customHeight="1">
      <c r="A25" s="28" t="s">
        <v>60</v>
      </c>
      <c r="B25" s="29" t="s">
        <v>21</v>
      </c>
      <c r="C25" s="29" t="s">
        <v>26</v>
      </c>
      <c r="D25" s="17">
        <v>46142.385416666657</v>
      </c>
      <c r="E25" s="17">
        <v>46144.502083333333</v>
      </c>
      <c r="F25" s="17">
        <v>46146.502083333333</v>
      </c>
      <c r="G25" s="17">
        <v>46154.902083333327</v>
      </c>
      <c r="H25" s="17">
        <v>46146.502083333333</v>
      </c>
      <c r="I25" s="17">
        <v>46153</v>
      </c>
      <c r="J25" s="31" t="s">
        <v>163</v>
      </c>
      <c r="K25" s="33" t="s">
        <v>48</v>
      </c>
      <c r="L25" s="30">
        <f>(Table8[[#This Row],[Garage_Booked_DateTime]] - Table8[[#This Row],[Defect_Reported_DateTime]])*24</f>
        <v>50.800000000221189</v>
      </c>
      <c r="M25" s="30" t="str">
        <f>IF(Table8[[#This Row],[Vehicle_Type]]&lt;&gt;"Specialised", "Not Applicable", IF(Table8[[#This Row],[Hours_To_Book]]&gt;48, "Yes", "No"))</f>
        <v>Not Applicable</v>
      </c>
      <c r="N25" s="32">
        <f>(Table8[[#This Row],[Garage_Out_Date]]-Table8[[#This Row],[Garage_In_Date]])</f>
        <v>8.3999999999941792</v>
      </c>
      <c r="O25" s="32" t="str">
        <f>IF(Table8[[#This Row],[Total_VOR_Days]] &gt;3.5, "Yes", "No")</f>
        <v>Yes</v>
      </c>
      <c r="P25" s="32" t="str">
        <f>IF(Table8[[#This Row],[Vehicle_Type]]&lt;&gt;"Specialised","Not Applicable", IF(Table8[[#This Row],[Hours_To_Book]]&gt;48, "Not Assessed", IF(Table8[[#This Row],[Total_VOR_Days]]&gt;3.5, "Ineffective", "Effective")))</f>
        <v>Not Applicable</v>
      </c>
      <c r="Q25" s="44">
        <f>IF(OR(Table8[[#This Row],[Garage_In_Date]]="",Table8[[#This Row],[Actual_Repair_Start_Date]]=""),"N/A",(Table8[[#This Row],[Actual_Repair_Start_Date]]-Table8[[#This Row],[Garage_In_Date]])*24)</f>
        <v>0</v>
      </c>
      <c r="R25" s="3"/>
    </row>
    <row r="26" spans="1:18" ht="24.95" customHeight="1">
      <c r="A26" s="22" t="s">
        <v>61</v>
      </c>
      <c r="B26" s="23" t="s">
        <v>21</v>
      </c>
      <c r="C26" s="23" t="s">
        <v>22</v>
      </c>
      <c r="D26" s="14">
        <v>46104.53125</v>
      </c>
      <c r="E26" s="14">
        <v>46106.810416666667</v>
      </c>
      <c r="F26" s="14">
        <v>46106.810416666667</v>
      </c>
      <c r="G26" s="14">
        <v>46115.410416666673</v>
      </c>
      <c r="H26" s="14">
        <v>46106.977083333331</v>
      </c>
      <c r="I26" s="14">
        <v>46114</v>
      </c>
      <c r="J26" s="25" t="s">
        <v>36</v>
      </c>
      <c r="K26" s="27" t="s">
        <v>35</v>
      </c>
      <c r="L26" s="24">
        <f>(Table8[[#This Row],[Garage_Booked_DateTime]] - Table8[[#This Row],[Defect_Reported_DateTime]])*24</f>
        <v>54.700000000011642</v>
      </c>
      <c r="M26" s="24" t="str">
        <f>IF(Table8[[#This Row],[Vehicle_Type]]&lt;&gt;"Specialised", "Not Applicable", IF(Table8[[#This Row],[Hours_To_Book]]&gt;48, "Yes", "No"))</f>
        <v>Not Applicable</v>
      </c>
      <c r="N26" s="26">
        <f>(Table8[[#This Row],[Garage_Out_Date]]-Table8[[#This Row],[Garage_In_Date]])</f>
        <v>8.6000000000058208</v>
      </c>
      <c r="O26" s="26" t="str">
        <f>IF(Table8[[#This Row],[Total_VOR_Days]] &gt;3.5, "Yes", "No")</f>
        <v>Yes</v>
      </c>
      <c r="P26" s="26" t="str">
        <f>IF(Table8[[#This Row],[Vehicle_Type]]&lt;&gt;"Specialised","Not Applicable", IF(Table8[[#This Row],[Hours_To_Book]]&gt;48, "Not Assessed", IF(Table8[[#This Row],[Total_VOR_Days]]&gt;3.5, "Ineffective", "Effective")))</f>
        <v>Not Applicable</v>
      </c>
      <c r="Q26" s="44">
        <f>IF(OR(Table8[[#This Row],[Garage_In_Date]]="",Table8[[#This Row],[Actual_Repair_Start_Date]]=""),"N/A",(Table8[[#This Row],[Actual_Repair_Start_Date]]-Table8[[#This Row],[Garage_In_Date]])*24)</f>
        <v>3.9999999999417923</v>
      </c>
      <c r="R26" s="3"/>
    </row>
    <row r="27" spans="1:18" ht="24.95" customHeight="1">
      <c r="A27" s="28" t="s">
        <v>62</v>
      </c>
      <c r="B27" s="29" t="s">
        <v>14</v>
      </c>
      <c r="C27" s="29" t="s">
        <v>22</v>
      </c>
      <c r="D27" s="17">
        <v>46043.65625</v>
      </c>
      <c r="E27" s="17">
        <v>46044.706250000003</v>
      </c>
      <c r="F27" s="17">
        <v>46046.706250000003</v>
      </c>
      <c r="G27" s="17">
        <v>46050.506249999999</v>
      </c>
      <c r="H27" s="17">
        <v>46046.706250000003</v>
      </c>
      <c r="I27" s="17">
        <v>46048</v>
      </c>
      <c r="J27" s="31" t="s">
        <v>28</v>
      </c>
      <c r="K27" s="33" t="s">
        <v>35</v>
      </c>
      <c r="L27" s="30">
        <f>(Table8[[#This Row],[Garage_Booked_DateTime]] - Table8[[#This Row],[Defect_Reported_DateTime]])*24</f>
        <v>25.200000000069849</v>
      </c>
      <c r="M27" s="30" t="str">
        <f>IF(Table8[[#This Row],[Vehicle_Type]]&lt;&gt;"Specialised", "Not Applicable", IF(Table8[[#This Row],[Hours_To_Book]]&gt;48, "Yes", "No"))</f>
        <v>No</v>
      </c>
      <c r="N27" s="32">
        <f>(Table8[[#This Row],[Garage_Out_Date]]-Table8[[#This Row],[Garage_In_Date]])</f>
        <v>3.7999999999956344</v>
      </c>
      <c r="O27" s="32" t="str">
        <f>IF(Table8[[#This Row],[Total_VOR_Days]] &gt;3.5, "Yes", "No")</f>
        <v>Yes</v>
      </c>
      <c r="P27" s="32" t="str">
        <f>IF(Table8[[#This Row],[Vehicle_Type]]&lt;&gt;"Specialised","Not Applicable", IF(Table8[[#This Row],[Hours_To_Book]]&gt;48, "Not Assessed", IF(Table8[[#This Row],[Total_VOR_Days]]&gt;3.5, "Ineffective", "Effective")))</f>
        <v>Ineffective</v>
      </c>
      <c r="Q27" s="44">
        <f>IF(OR(Table8[[#This Row],[Garage_In_Date]]="",Table8[[#This Row],[Actual_Repair_Start_Date]]=""),"N/A",(Table8[[#This Row],[Actual_Repair_Start_Date]]-Table8[[#This Row],[Garage_In_Date]])*24)</f>
        <v>0</v>
      </c>
      <c r="R27" s="3"/>
    </row>
    <row r="28" spans="1:18" ht="24.95" customHeight="1">
      <c r="A28" s="22" t="s">
        <v>63</v>
      </c>
      <c r="B28" s="23" t="s">
        <v>21</v>
      </c>
      <c r="C28" s="23" t="s">
        <v>188</v>
      </c>
      <c r="D28" s="14">
        <v>46039.354166666657</v>
      </c>
      <c r="E28" s="14">
        <v>46040.237500000003</v>
      </c>
      <c r="F28" s="14">
        <v>46040.237500000003</v>
      </c>
      <c r="G28" s="14">
        <v>46047.9375</v>
      </c>
      <c r="H28" s="14">
        <v>46041.375</v>
      </c>
      <c r="I28" s="14">
        <v>46048</v>
      </c>
      <c r="J28" s="25" t="s">
        <v>36</v>
      </c>
      <c r="K28" s="27" t="s">
        <v>27</v>
      </c>
      <c r="L28" s="24">
        <f>(Table8[[#This Row],[Garage_Booked_DateTime]] - Table8[[#This Row],[Defect_Reported_DateTime]])*24</f>
        <v>21.20000000030268</v>
      </c>
      <c r="M28" s="24" t="str">
        <f>IF(Table8[[#This Row],[Vehicle_Type]]&lt;&gt;"Specialised", "Not Applicable", IF(Table8[[#This Row],[Hours_To_Book]]&gt;48, "Yes", "No"))</f>
        <v>Not Applicable</v>
      </c>
      <c r="N28" s="26">
        <f>(Table8[[#This Row],[Garage_Out_Date]]-Table8[[#This Row],[Garage_In_Date]])</f>
        <v>7.6999999999970896</v>
      </c>
      <c r="O28" s="26" t="str">
        <f>IF(Table8[[#This Row],[Total_VOR_Days]] &gt;3.5, "Yes", "No")</f>
        <v>Yes</v>
      </c>
      <c r="P28" s="26" t="str">
        <f>IF(Table8[[#This Row],[Vehicle_Type]]&lt;&gt;"Specialised","Not Applicable", IF(Table8[[#This Row],[Hours_To_Book]]&gt;48, "Not Assessed", IF(Table8[[#This Row],[Total_VOR_Days]]&gt;3.5, "Ineffective", "Effective")))</f>
        <v>Not Applicable</v>
      </c>
      <c r="Q28" s="44">
        <f>IF(OR(Table8[[#This Row],[Garage_In_Date]]="",Table8[[#This Row],[Actual_Repair_Start_Date]]=""),"N/A",(Table8[[#This Row],[Actual_Repair_Start_Date]]-Table8[[#This Row],[Garage_In_Date]])*24)</f>
        <v>27.299999999930151</v>
      </c>
      <c r="R28" s="3"/>
    </row>
    <row r="29" spans="1:18" ht="24.95" customHeight="1">
      <c r="A29" s="28" t="s">
        <v>65</v>
      </c>
      <c r="B29" s="29" t="s">
        <v>14</v>
      </c>
      <c r="C29" s="29" t="s">
        <v>22</v>
      </c>
      <c r="D29" s="17">
        <v>46118.427083333343</v>
      </c>
      <c r="E29" s="17">
        <v>46120.272916666669</v>
      </c>
      <c r="F29" s="17">
        <v>46120.439583333333</v>
      </c>
      <c r="G29" s="17">
        <v>46120.939583333333</v>
      </c>
      <c r="H29" s="17">
        <v>46120.439583333333</v>
      </c>
      <c r="I29" s="17">
        <v>46121</v>
      </c>
      <c r="J29" s="31" t="s">
        <v>19</v>
      </c>
      <c r="K29" s="33" t="s">
        <v>23</v>
      </c>
      <c r="L29" s="30">
        <f>(Table8[[#This Row],[Garage_Booked_DateTime]] - Table8[[#This Row],[Defect_Reported_DateTime]])*24</f>
        <v>44.299999999813735</v>
      </c>
      <c r="M29" s="30" t="str">
        <f>IF(Table8[[#This Row],[Vehicle_Type]]&lt;&gt;"Specialised", "Not Applicable", IF(Table8[[#This Row],[Hours_To_Book]]&gt;48, "Yes", "No"))</f>
        <v>No</v>
      </c>
      <c r="N29" s="32">
        <f>(Table8[[#This Row],[Garage_Out_Date]]-Table8[[#This Row],[Garage_In_Date]])</f>
        <v>0.5</v>
      </c>
      <c r="O29" s="32" t="str">
        <f>IF(Table8[[#This Row],[Total_VOR_Days]] &gt;3.5, "Yes", "No")</f>
        <v>No</v>
      </c>
      <c r="P29" s="32" t="str">
        <f>IF(Table8[[#This Row],[Vehicle_Type]]&lt;&gt;"Specialised","Not Applicable", IF(Table8[[#This Row],[Hours_To_Book]]&gt;48, "Not Assessed", IF(Table8[[#This Row],[Total_VOR_Days]]&gt;3.5, "Ineffective", "Effective")))</f>
        <v>Effective</v>
      </c>
      <c r="Q29" s="44">
        <f>IF(OR(Table8[[#This Row],[Garage_In_Date]]="",Table8[[#This Row],[Actual_Repair_Start_Date]]=""),"N/A",(Table8[[#This Row],[Actual_Repair_Start_Date]]-Table8[[#This Row],[Garage_In_Date]])*24)</f>
        <v>0</v>
      </c>
      <c r="R29" s="3"/>
    </row>
    <row r="30" spans="1:18" ht="24.95" customHeight="1">
      <c r="A30" s="22" t="s">
        <v>66</v>
      </c>
      <c r="B30" s="23" t="s">
        <v>14</v>
      </c>
      <c r="C30" s="23" t="s">
        <v>42</v>
      </c>
      <c r="D30" s="14">
        <v>46126.479166666657</v>
      </c>
      <c r="E30" s="14">
        <v>46127.98333333333</v>
      </c>
      <c r="F30" s="14">
        <v>46128.98333333333</v>
      </c>
      <c r="G30" s="14">
        <v>46135.783333333333</v>
      </c>
      <c r="H30" s="14">
        <v>46128.98333333333</v>
      </c>
      <c r="I30" s="14">
        <v>46133</v>
      </c>
      <c r="J30" s="25" t="s">
        <v>159</v>
      </c>
      <c r="K30" s="27" t="s">
        <v>44</v>
      </c>
      <c r="L30" s="24">
        <f>(Table8[[#This Row],[Garage_Booked_DateTime]] - Table8[[#This Row],[Defect_Reported_DateTime]])*24</f>
        <v>36.10000000015134</v>
      </c>
      <c r="M30" s="24" t="str">
        <f>IF(Table8[[#This Row],[Vehicle_Type]]&lt;&gt;"Specialised", "Not Applicable", IF(Table8[[#This Row],[Hours_To_Book]]&gt;48, "Yes", "No"))</f>
        <v>No</v>
      </c>
      <c r="N30" s="26">
        <f>(Table8[[#This Row],[Garage_Out_Date]]-Table8[[#This Row],[Garage_In_Date]])</f>
        <v>6.8000000000029104</v>
      </c>
      <c r="O30" s="26" t="str">
        <f>IF(Table8[[#This Row],[Total_VOR_Days]] &gt;3.5, "Yes", "No")</f>
        <v>Yes</v>
      </c>
      <c r="P30" s="26" t="str">
        <f>IF(Table8[[#This Row],[Vehicle_Type]]&lt;&gt;"Specialised","Not Applicable", IF(Table8[[#This Row],[Hours_To_Book]]&gt;48, "Not Assessed", IF(Table8[[#This Row],[Total_VOR_Days]]&gt;3.5, "Ineffective", "Effective")))</f>
        <v>Ineffective</v>
      </c>
      <c r="Q30" s="44">
        <f>IF(OR(Table8[[#This Row],[Garage_In_Date]]="",Table8[[#This Row],[Actual_Repair_Start_Date]]=""),"N/A",(Table8[[#This Row],[Actual_Repair_Start_Date]]-Table8[[#This Row],[Garage_In_Date]])*24)</f>
        <v>0</v>
      </c>
      <c r="R30" s="3"/>
    </row>
    <row r="31" spans="1:18" ht="24.95" customHeight="1">
      <c r="A31" s="28" t="s">
        <v>67</v>
      </c>
      <c r="B31" s="29" t="s">
        <v>14</v>
      </c>
      <c r="C31" s="29" t="s">
        <v>30</v>
      </c>
      <c r="D31" s="17">
        <v>46124.46875</v>
      </c>
      <c r="E31" s="17">
        <v>46125.90625</v>
      </c>
      <c r="F31" s="17">
        <v>46126.239583333343</v>
      </c>
      <c r="G31" s="17">
        <v>46130.63958333333</v>
      </c>
      <c r="H31" s="17">
        <v>46126.479166666657</v>
      </c>
      <c r="I31" s="17">
        <v>46128</v>
      </c>
      <c r="J31" s="31" t="s">
        <v>36</v>
      </c>
      <c r="K31" s="33" t="s">
        <v>27</v>
      </c>
      <c r="L31" s="30">
        <f>(Table8[[#This Row],[Garage_Booked_DateTime]] - Table8[[#This Row],[Defect_Reported_DateTime]])*24</f>
        <v>34.5</v>
      </c>
      <c r="M31" s="30" t="str">
        <f>IF(Table8[[#This Row],[Vehicle_Type]]&lt;&gt;"Specialised", "Not Applicable", IF(Table8[[#This Row],[Hours_To_Book]]&gt;48, "Yes", "No"))</f>
        <v>No</v>
      </c>
      <c r="N31" s="32">
        <f>(Table8[[#This Row],[Garage_Out_Date]]-Table8[[#This Row],[Garage_In_Date]])</f>
        <v>4.3999999999869033</v>
      </c>
      <c r="O31" s="32" t="str">
        <f>IF(Table8[[#This Row],[Total_VOR_Days]] &gt;3.5, "Yes", "No")</f>
        <v>Yes</v>
      </c>
      <c r="P31" s="32" t="str">
        <f>IF(Table8[[#This Row],[Vehicle_Type]]&lt;&gt;"Specialised","Not Applicable", IF(Table8[[#This Row],[Hours_To_Book]]&gt;48, "Not Assessed", IF(Table8[[#This Row],[Total_VOR_Days]]&gt;3.5, "Ineffective", "Effective")))</f>
        <v>Ineffective</v>
      </c>
      <c r="Q31" s="44">
        <f>IF(OR(Table8[[#This Row],[Garage_In_Date]]="",Table8[[#This Row],[Actual_Repair_Start_Date]]=""),"N/A",(Table8[[#This Row],[Actual_Repair_Start_Date]]-Table8[[#This Row],[Garage_In_Date]])*24)</f>
        <v>5.7499999995343387</v>
      </c>
      <c r="R31" s="3"/>
    </row>
    <row r="32" spans="1:18" ht="24.95" customHeight="1">
      <c r="A32" s="22" t="s">
        <v>68</v>
      </c>
      <c r="B32" s="23" t="s">
        <v>21</v>
      </c>
      <c r="C32" s="23" t="s">
        <v>188</v>
      </c>
      <c r="D32" s="14">
        <v>46109.6875</v>
      </c>
      <c r="E32" s="14">
        <v>46112.4</v>
      </c>
      <c r="F32" s="14">
        <v>46112.73333333333</v>
      </c>
      <c r="G32" s="14">
        <v>46116.533333333333</v>
      </c>
      <c r="H32" s="14">
        <v>46112.9</v>
      </c>
      <c r="I32" s="14">
        <v>46116</v>
      </c>
      <c r="J32" s="25" t="s">
        <v>33</v>
      </c>
      <c r="K32" s="27" t="s">
        <v>23</v>
      </c>
      <c r="L32" s="24">
        <f>(Table8[[#This Row],[Garage_Booked_DateTime]] - Table8[[#This Row],[Defect_Reported_DateTime]])*24</f>
        <v>65.100000000034925</v>
      </c>
      <c r="M32" s="24" t="str">
        <f>IF(Table8[[#This Row],[Vehicle_Type]]&lt;&gt;"Specialised", "Not Applicable", IF(Table8[[#This Row],[Hours_To_Book]]&gt;48, "Yes", "No"))</f>
        <v>Not Applicable</v>
      </c>
      <c r="N32" s="26">
        <f>(Table8[[#This Row],[Garage_Out_Date]]-Table8[[#This Row],[Garage_In_Date]])</f>
        <v>3.8000000000029104</v>
      </c>
      <c r="O32" s="26" t="str">
        <f>IF(Table8[[#This Row],[Total_VOR_Days]] &gt;3.5, "Yes", "No")</f>
        <v>Yes</v>
      </c>
      <c r="P32" s="26" t="str">
        <f>IF(Table8[[#This Row],[Vehicle_Type]]&lt;&gt;"Specialised","Not Applicable", IF(Table8[[#This Row],[Hours_To_Book]]&gt;48, "Not Assessed", IF(Table8[[#This Row],[Total_VOR_Days]]&gt;3.5, "Ineffective", "Effective")))</f>
        <v>Not Applicable</v>
      </c>
      <c r="Q32" s="44">
        <f>IF(OR(Table8[[#This Row],[Garage_In_Date]]="",Table8[[#This Row],[Actual_Repair_Start_Date]]=""),"N/A",(Table8[[#This Row],[Actual_Repair_Start_Date]]-Table8[[#This Row],[Garage_In_Date]])*24)</f>
        <v>4.0000000001164153</v>
      </c>
      <c r="R32" s="3"/>
    </row>
    <row r="33" spans="1:18" ht="24.95" customHeight="1">
      <c r="A33" s="28" t="s">
        <v>69</v>
      </c>
      <c r="B33" s="29" t="s">
        <v>14</v>
      </c>
      <c r="C33" s="29" t="s">
        <v>188</v>
      </c>
      <c r="D33" s="17">
        <v>46063.583333333343</v>
      </c>
      <c r="E33" s="17">
        <v>46065.770833333343</v>
      </c>
      <c r="F33" s="17">
        <v>46067.270833333343</v>
      </c>
      <c r="G33" s="17">
        <v>46071.67083333333</v>
      </c>
      <c r="H33" s="17">
        <v>46067.395833333343</v>
      </c>
      <c r="I33" s="17">
        <v>46070</v>
      </c>
      <c r="J33" s="31" t="s">
        <v>33</v>
      </c>
      <c r="K33" s="33" t="s">
        <v>48</v>
      </c>
      <c r="L33" s="30">
        <f>(Table8[[#This Row],[Garage_Booked_DateTime]] - Table8[[#This Row],[Defect_Reported_DateTime]])*24</f>
        <v>52.5</v>
      </c>
      <c r="M33" s="30" t="str">
        <f>IF(Table8[[#This Row],[Vehicle_Type]]&lt;&gt;"Specialised", "Not Applicable", IF(Table8[[#This Row],[Hours_To_Book]]&gt;48, "Yes", "No"))</f>
        <v>Yes</v>
      </c>
      <c r="N33" s="32">
        <f>(Table8[[#This Row],[Garage_Out_Date]]-Table8[[#This Row],[Garage_In_Date]])</f>
        <v>4.3999999999869033</v>
      </c>
      <c r="O33" s="32" t="str">
        <f>IF(Table8[[#This Row],[Total_VOR_Days]] &gt;3.5, "Yes", "No")</f>
        <v>Yes</v>
      </c>
      <c r="P33" s="32" t="str">
        <f>IF(Table8[[#This Row],[Vehicle_Type]]&lt;&gt;"Specialised","Not Applicable", IF(Table8[[#This Row],[Hours_To_Book]]&gt;48, "Not Assessed", IF(Table8[[#This Row],[Total_VOR_Days]]&gt;3.5, "Ineffective", "Effective")))</f>
        <v>Not Assessed</v>
      </c>
      <c r="Q33" s="44">
        <f>IF(OR(Table8[[#This Row],[Garage_In_Date]]="",Table8[[#This Row],[Actual_Repair_Start_Date]]=""),"N/A",(Table8[[#This Row],[Actual_Repair_Start_Date]]-Table8[[#This Row],[Garage_In_Date]])*24)</f>
        <v>3</v>
      </c>
      <c r="R33" s="3"/>
    </row>
    <row r="34" spans="1:18" ht="24.95" customHeight="1">
      <c r="A34" s="22" t="s">
        <v>70</v>
      </c>
      <c r="B34" s="23" t="s">
        <v>21</v>
      </c>
      <c r="C34" s="23" t="s">
        <v>26</v>
      </c>
      <c r="D34" s="14">
        <v>46078.395833333343</v>
      </c>
      <c r="E34" s="14">
        <v>46080.945833333331</v>
      </c>
      <c r="F34" s="14">
        <v>46082.445833333331</v>
      </c>
      <c r="G34" s="14">
        <v>46085.145833333343</v>
      </c>
      <c r="H34" s="14">
        <v>46082.445833333331</v>
      </c>
      <c r="I34" s="14">
        <v>46085</v>
      </c>
      <c r="J34" s="25" t="s">
        <v>19</v>
      </c>
      <c r="K34" s="27" t="s">
        <v>23</v>
      </c>
      <c r="L34" s="24">
        <f>(Table8[[#This Row],[Garage_Booked_DateTime]] - Table8[[#This Row],[Defect_Reported_DateTime]])*24</f>
        <v>61.199999999720603</v>
      </c>
      <c r="M34" s="24" t="str">
        <f>IF(Table8[[#This Row],[Vehicle_Type]]&lt;&gt;"Specialised", "Not Applicable", IF(Table8[[#This Row],[Hours_To_Book]]&gt;48, "Yes", "No"))</f>
        <v>Not Applicable</v>
      </c>
      <c r="N34" s="26">
        <f>(Table8[[#This Row],[Garage_Out_Date]]-Table8[[#This Row],[Garage_In_Date]])</f>
        <v>2.7000000000116415</v>
      </c>
      <c r="O34" s="26" t="str">
        <f>IF(Table8[[#This Row],[Total_VOR_Days]] &gt;3.5, "Yes", "No")</f>
        <v>No</v>
      </c>
      <c r="P34" s="26" t="str">
        <f>IF(Table8[[#This Row],[Vehicle_Type]]&lt;&gt;"Specialised","Not Applicable", IF(Table8[[#This Row],[Hours_To_Book]]&gt;48, "Not Assessed", IF(Table8[[#This Row],[Total_VOR_Days]]&gt;3.5, "Ineffective", "Effective")))</f>
        <v>Not Applicable</v>
      </c>
      <c r="Q34" s="44">
        <f>IF(OR(Table8[[#This Row],[Garage_In_Date]]="",Table8[[#This Row],[Actual_Repair_Start_Date]]=""),"N/A",(Table8[[#This Row],[Actual_Repair_Start_Date]]-Table8[[#This Row],[Garage_In_Date]])*24)</f>
        <v>0</v>
      </c>
      <c r="R34" s="3"/>
    </row>
    <row r="35" spans="1:18" ht="24.95" customHeight="1">
      <c r="A35" s="28" t="s">
        <v>71</v>
      </c>
      <c r="B35" s="29" t="s">
        <v>21</v>
      </c>
      <c r="C35" s="29" t="s">
        <v>22</v>
      </c>
      <c r="D35" s="17">
        <v>46060.677083333343</v>
      </c>
      <c r="E35" s="17">
        <v>46064.606249999997</v>
      </c>
      <c r="F35" s="17">
        <v>46064.772916666669</v>
      </c>
      <c r="G35" s="17">
        <v>46065.272916666669</v>
      </c>
      <c r="H35" s="17">
        <v>46065.272916666669</v>
      </c>
      <c r="I35" s="17">
        <v>46065</v>
      </c>
      <c r="J35" s="31" t="s">
        <v>19</v>
      </c>
      <c r="K35" s="33" t="s">
        <v>27</v>
      </c>
      <c r="L35" s="30">
        <f>(Table8[[#This Row],[Garage_Booked_DateTime]] - Table8[[#This Row],[Defect_Reported_DateTime]])*24</f>
        <v>94.29999999969732</v>
      </c>
      <c r="M35" s="30" t="str">
        <f>IF(Table8[[#This Row],[Vehicle_Type]]&lt;&gt;"Specialised", "Not Applicable", IF(Table8[[#This Row],[Hours_To_Book]]&gt;48, "Yes", "No"))</f>
        <v>Not Applicable</v>
      </c>
      <c r="N35" s="32">
        <f>(Table8[[#This Row],[Garage_Out_Date]]-Table8[[#This Row],[Garage_In_Date]])</f>
        <v>0.5</v>
      </c>
      <c r="O35" s="32" t="str">
        <f>IF(Table8[[#This Row],[Total_VOR_Days]] &gt;3.5, "Yes", "No")</f>
        <v>No</v>
      </c>
      <c r="P35" s="32" t="str">
        <f>IF(Table8[[#This Row],[Vehicle_Type]]&lt;&gt;"Specialised","Not Applicable", IF(Table8[[#This Row],[Hours_To_Book]]&gt;48, "Not Assessed", IF(Table8[[#This Row],[Total_VOR_Days]]&gt;3.5, "Ineffective", "Effective")))</f>
        <v>Not Applicable</v>
      </c>
      <c r="Q35" s="44">
        <f>IF(OR(Table8[[#This Row],[Garage_In_Date]]="",Table8[[#This Row],[Actual_Repair_Start_Date]]=""),"N/A",(Table8[[#This Row],[Actual_Repair_Start_Date]]-Table8[[#This Row],[Garage_In_Date]])*24)</f>
        <v>12</v>
      </c>
      <c r="R35" s="3"/>
    </row>
    <row r="36" spans="1:18" ht="24.95" customHeight="1">
      <c r="A36" s="22" t="s">
        <v>72</v>
      </c>
      <c r="B36" s="23" t="s">
        <v>21</v>
      </c>
      <c r="C36" s="23" t="s">
        <v>15</v>
      </c>
      <c r="D36" s="14">
        <v>46061.510416666657</v>
      </c>
      <c r="E36" s="14">
        <v>46064.84375</v>
      </c>
      <c r="F36" s="14">
        <v>46065.84375</v>
      </c>
      <c r="G36" s="14">
        <v>46070.643750000003</v>
      </c>
      <c r="H36" s="14">
        <v>46066.010416666657</v>
      </c>
      <c r="I36" s="14">
        <v>46068</v>
      </c>
      <c r="J36" s="25" t="s">
        <v>33</v>
      </c>
      <c r="K36" s="27" t="s">
        <v>35</v>
      </c>
      <c r="L36" s="24">
        <f>(Table8[[#This Row],[Garage_Booked_DateTime]] - Table8[[#This Row],[Defect_Reported_DateTime]])*24</f>
        <v>80.000000000232831</v>
      </c>
      <c r="M36" s="24" t="str">
        <f>IF(Table8[[#This Row],[Vehicle_Type]]&lt;&gt;"Specialised", "Not Applicable", IF(Table8[[#This Row],[Hours_To_Book]]&gt;48, "Yes", "No"))</f>
        <v>Not Applicable</v>
      </c>
      <c r="N36" s="26">
        <f>(Table8[[#This Row],[Garage_Out_Date]]-Table8[[#This Row],[Garage_In_Date]])</f>
        <v>4.8000000000029104</v>
      </c>
      <c r="O36" s="26" t="str">
        <f>IF(Table8[[#This Row],[Total_VOR_Days]] &gt;3.5, "Yes", "No")</f>
        <v>Yes</v>
      </c>
      <c r="P36" s="26" t="str">
        <f>IF(Table8[[#This Row],[Vehicle_Type]]&lt;&gt;"Specialised","Not Applicable", IF(Table8[[#This Row],[Hours_To_Book]]&gt;48, "Not Assessed", IF(Table8[[#This Row],[Total_VOR_Days]]&gt;3.5, "Ineffective", "Effective")))</f>
        <v>Not Applicable</v>
      </c>
      <c r="Q36" s="44">
        <f>IF(OR(Table8[[#This Row],[Garage_In_Date]]="",Table8[[#This Row],[Actual_Repair_Start_Date]]=""),"N/A",(Table8[[#This Row],[Actual_Repair_Start_Date]]-Table8[[#This Row],[Garage_In_Date]])*24)</f>
        <v>3.9999999997671694</v>
      </c>
      <c r="R36" s="3"/>
    </row>
    <row r="37" spans="1:18" ht="24.95" customHeight="1">
      <c r="A37" s="28" t="s">
        <v>73</v>
      </c>
      <c r="B37" s="29" t="s">
        <v>14</v>
      </c>
      <c r="C37" s="29" t="s">
        <v>15</v>
      </c>
      <c r="D37" s="17">
        <v>46088.729166666657</v>
      </c>
      <c r="E37" s="17">
        <v>46089.466666666667</v>
      </c>
      <c r="F37" s="17">
        <v>46089.466666666667</v>
      </c>
      <c r="G37" s="17">
        <v>46095.066666666673</v>
      </c>
      <c r="H37" s="17">
        <v>46089.458333333343</v>
      </c>
      <c r="I37" s="17">
        <v>46094</v>
      </c>
      <c r="J37" s="31" t="s">
        <v>159</v>
      </c>
      <c r="K37" s="33" t="s">
        <v>48</v>
      </c>
      <c r="L37" s="30">
        <f>(Table8[[#This Row],[Garage_Booked_DateTime]] - Table8[[#This Row],[Defect_Reported_DateTime]])*24</f>
        <v>17.700000000244472</v>
      </c>
      <c r="M37" s="30" t="str">
        <f>IF(Table8[[#This Row],[Vehicle_Type]]&lt;&gt;"Specialised", "Not Applicable", IF(Table8[[#This Row],[Hours_To_Book]]&gt;48, "Yes", "No"))</f>
        <v>No</v>
      </c>
      <c r="N37" s="32">
        <f>(Table8[[#This Row],[Garage_Out_Date]]-Table8[[#This Row],[Garage_In_Date]])</f>
        <v>5.6000000000058208</v>
      </c>
      <c r="O37" s="32" t="str">
        <f>IF(Table8[[#This Row],[Total_VOR_Days]] &gt;3.5, "Yes", "No")</f>
        <v>Yes</v>
      </c>
      <c r="P37" s="32" t="str">
        <f>IF(Table8[[#This Row],[Vehicle_Type]]&lt;&gt;"Specialised","Not Applicable", IF(Table8[[#This Row],[Hours_To_Book]]&gt;48, "Not Assessed", IF(Table8[[#This Row],[Total_VOR_Days]]&gt;3.5, "Ineffective", "Effective")))</f>
        <v>Ineffective</v>
      </c>
      <c r="Q37" s="44">
        <f>IF(OR(Table8[[#This Row],[Garage_In_Date]]="",Table8[[#This Row],[Actual_Repair_Start_Date]]=""),"N/A",(Table8[[#This Row],[Actual_Repair_Start_Date]]-Table8[[#This Row],[Garage_In_Date]])*24)</f>
        <v>-0.19999999977881089</v>
      </c>
      <c r="R37" s="3"/>
    </row>
    <row r="38" spans="1:18" ht="24.95" customHeight="1">
      <c r="A38" s="22" t="s">
        <v>74</v>
      </c>
      <c r="B38" s="23" t="s">
        <v>21</v>
      </c>
      <c r="C38" s="23" t="s">
        <v>188</v>
      </c>
      <c r="D38" s="14">
        <v>46101.40625</v>
      </c>
      <c r="E38" s="14">
        <v>46102.306250000001</v>
      </c>
      <c r="F38" s="14">
        <v>46103.306250000001</v>
      </c>
      <c r="G38" s="14">
        <v>46109.506249999999</v>
      </c>
      <c r="H38" s="14">
        <v>46103.306250000001</v>
      </c>
      <c r="I38" s="14">
        <v>46108</v>
      </c>
      <c r="J38" s="25" t="s">
        <v>36</v>
      </c>
      <c r="K38" s="27" t="s">
        <v>31</v>
      </c>
      <c r="L38" s="24">
        <f>(Table8[[#This Row],[Garage_Booked_DateTime]] - Table8[[#This Row],[Defect_Reported_DateTime]])*24</f>
        <v>21.600000000034925</v>
      </c>
      <c r="M38" s="24" t="str">
        <f>IF(Table8[[#This Row],[Vehicle_Type]]&lt;&gt;"Specialised", "Not Applicable", IF(Table8[[#This Row],[Hours_To_Book]]&gt;48, "Yes", "No"))</f>
        <v>Not Applicable</v>
      </c>
      <c r="N38" s="26">
        <f>(Table8[[#This Row],[Garage_Out_Date]]-Table8[[#This Row],[Garage_In_Date]])</f>
        <v>6.1999999999970896</v>
      </c>
      <c r="O38" s="26" t="str">
        <f>IF(Table8[[#This Row],[Total_VOR_Days]] &gt;3.5, "Yes", "No")</f>
        <v>Yes</v>
      </c>
      <c r="P38" s="26" t="str">
        <f>IF(Table8[[#This Row],[Vehicle_Type]]&lt;&gt;"Specialised","Not Applicable", IF(Table8[[#This Row],[Hours_To_Book]]&gt;48, "Not Assessed", IF(Table8[[#This Row],[Total_VOR_Days]]&gt;3.5, "Ineffective", "Effective")))</f>
        <v>Not Applicable</v>
      </c>
      <c r="Q38" s="44">
        <f>IF(OR(Table8[[#This Row],[Garage_In_Date]]="",Table8[[#This Row],[Actual_Repair_Start_Date]]=""),"N/A",(Table8[[#This Row],[Actual_Repair_Start_Date]]-Table8[[#This Row],[Garage_In_Date]])*24)</f>
        <v>0</v>
      </c>
      <c r="R38" s="3"/>
    </row>
    <row r="39" spans="1:18" ht="24.95" customHeight="1">
      <c r="A39" s="28" t="s">
        <v>75</v>
      </c>
      <c r="B39" s="29" t="s">
        <v>21</v>
      </c>
      <c r="C39" s="29" t="s">
        <v>15</v>
      </c>
      <c r="D39" s="17">
        <v>46122.59375</v>
      </c>
      <c r="E39" s="17">
        <v>46124.097916666673</v>
      </c>
      <c r="F39" s="17">
        <v>46124.26458333333</v>
      </c>
      <c r="G39" s="17">
        <v>46129.464583333327</v>
      </c>
      <c r="H39" s="17">
        <v>46126.354166666657</v>
      </c>
      <c r="I39" s="17">
        <v>46130</v>
      </c>
      <c r="J39" s="31" t="s">
        <v>163</v>
      </c>
      <c r="K39" s="33" t="s">
        <v>35</v>
      </c>
      <c r="L39" s="30">
        <f>(Table8[[#This Row],[Garage_Booked_DateTime]] - Table8[[#This Row],[Defect_Reported_DateTime]])*24</f>
        <v>36.10000000015134</v>
      </c>
      <c r="M39" s="30" t="str">
        <f>IF(Table8[[#This Row],[Vehicle_Type]]&lt;&gt;"Specialised", "Not Applicable", IF(Table8[[#This Row],[Hours_To_Book]]&gt;48, "Yes", "No"))</f>
        <v>Not Applicable</v>
      </c>
      <c r="N39" s="32">
        <f>(Table8[[#This Row],[Garage_Out_Date]]-Table8[[#This Row],[Garage_In_Date]])</f>
        <v>5.1999999999970896</v>
      </c>
      <c r="O39" s="32" t="str">
        <f>IF(Table8[[#This Row],[Total_VOR_Days]] &gt;3.5, "Yes", "No")</f>
        <v>Yes</v>
      </c>
      <c r="P39" s="32" t="str">
        <f>IF(Table8[[#This Row],[Vehicle_Type]]&lt;&gt;"Specialised","Not Applicable", IF(Table8[[#This Row],[Hours_To_Book]]&gt;48, "Not Assessed", IF(Table8[[#This Row],[Total_VOR_Days]]&gt;3.5, "Ineffective", "Effective")))</f>
        <v>Not Applicable</v>
      </c>
      <c r="Q39" s="44">
        <f>IF(OR(Table8[[#This Row],[Garage_In_Date]]="",Table8[[#This Row],[Actual_Repair_Start_Date]]=""),"N/A",(Table8[[#This Row],[Actual_Repair_Start_Date]]-Table8[[#This Row],[Garage_In_Date]])*24)</f>
        <v>50.14999999984866</v>
      </c>
      <c r="R39" s="3"/>
    </row>
    <row r="40" spans="1:18" ht="24.95" customHeight="1">
      <c r="A40" s="22" t="s">
        <v>76</v>
      </c>
      <c r="B40" s="23" t="s">
        <v>21</v>
      </c>
      <c r="C40" s="23" t="s">
        <v>188</v>
      </c>
      <c r="D40" s="14">
        <v>46108.6875</v>
      </c>
      <c r="E40" s="14">
        <v>46109.645833333343</v>
      </c>
      <c r="F40" s="14">
        <v>46110.645833333343</v>
      </c>
      <c r="G40" s="14">
        <v>46112.445833333331</v>
      </c>
      <c r="H40" s="14">
        <v>46110.8125</v>
      </c>
      <c r="I40" s="14">
        <v>46111</v>
      </c>
      <c r="J40" s="25" t="s">
        <v>19</v>
      </c>
      <c r="K40" s="27" t="s">
        <v>44</v>
      </c>
      <c r="L40" s="24">
        <f>(Table8[[#This Row],[Garage_Booked_DateTime]] - Table8[[#This Row],[Defect_Reported_DateTime]])*24</f>
        <v>23.000000000232831</v>
      </c>
      <c r="M40" s="24" t="str">
        <f>IF(Table8[[#This Row],[Vehicle_Type]]&lt;&gt;"Specialised", "Not Applicable", IF(Table8[[#This Row],[Hours_To_Book]]&gt;48, "Yes", "No"))</f>
        <v>Not Applicable</v>
      </c>
      <c r="N40" s="26">
        <f>(Table8[[#This Row],[Garage_Out_Date]]-Table8[[#This Row],[Garage_In_Date]])</f>
        <v>1.7999999999883585</v>
      </c>
      <c r="O40" s="26" t="str">
        <f>IF(Table8[[#This Row],[Total_VOR_Days]] &gt;3.5, "Yes", "No")</f>
        <v>No</v>
      </c>
      <c r="P40" s="26" t="str">
        <f>IF(Table8[[#This Row],[Vehicle_Type]]&lt;&gt;"Specialised","Not Applicable", IF(Table8[[#This Row],[Hours_To_Book]]&gt;48, "Not Assessed", IF(Table8[[#This Row],[Total_VOR_Days]]&gt;3.5, "Ineffective", "Effective")))</f>
        <v>Not Applicable</v>
      </c>
      <c r="Q40" s="44">
        <f>IF(OR(Table8[[#This Row],[Garage_In_Date]]="",Table8[[#This Row],[Actual_Repair_Start_Date]]=""),"N/A",(Table8[[#This Row],[Actual_Repair_Start_Date]]-Table8[[#This Row],[Garage_In_Date]])*24)</f>
        <v>3.9999999997671694</v>
      </c>
      <c r="R40" s="3"/>
    </row>
    <row r="41" spans="1:18" ht="24.95" customHeight="1">
      <c r="A41" s="28" t="s">
        <v>77</v>
      </c>
      <c r="B41" s="29" t="s">
        <v>21</v>
      </c>
      <c r="C41" s="29" t="s">
        <v>188</v>
      </c>
      <c r="D41" s="17">
        <v>46056.479166666657</v>
      </c>
      <c r="E41" s="17">
        <v>46057.820833333331</v>
      </c>
      <c r="F41" s="17">
        <v>46059.320833333331</v>
      </c>
      <c r="G41" s="17">
        <v>46062.020833333343</v>
      </c>
      <c r="H41" s="17">
        <v>46060.375</v>
      </c>
      <c r="I41" s="17">
        <v>46061</v>
      </c>
      <c r="J41" s="31" t="s">
        <v>19</v>
      </c>
      <c r="K41" s="33" t="s">
        <v>27</v>
      </c>
      <c r="L41" s="30">
        <f>(Table8[[#This Row],[Garage_Booked_DateTime]] - Table8[[#This Row],[Defect_Reported_DateTime]])*24</f>
        <v>32.200000000186265</v>
      </c>
      <c r="M41" s="30" t="str">
        <f>IF(Table8[[#This Row],[Vehicle_Type]]&lt;&gt;"Specialised", "Not Applicable", IF(Table8[[#This Row],[Hours_To_Book]]&gt;48, "Yes", "No"))</f>
        <v>Not Applicable</v>
      </c>
      <c r="N41" s="32">
        <f>(Table8[[#This Row],[Garage_Out_Date]]-Table8[[#This Row],[Garage_In_Date]])</f>
        <v>2.7000000000116415</v>
      </c>
      <c r="O41" s="32" t="str">
        <f>IF(Table8[[#This Row],[Total_VOR_Days]] &gt;3.5, "Yes", "No")</f>
        <v>No</v>
      </c>
      <c r="P41" s="32" t="str">
        <f>IF(Table8[[#This Row],[Vehicle_Type]]&lt;&gt;"Specialised","Not Applicable", IF(Table8[[#This Row],[Hours_To_Book]]&gt;48, "Not Assessed", IF(Table8[[#This Row],[Total_VOR_Days]]&gt;3.5, "Ineffective", "Effective")))</f>
        <v>Not Applicable</v>
      </c>
      <c r="Q41" s="44">
        <f>IF(OR(Table8[[#This Row],[Garage_In_Date]]="",Table8[[#This Row],[Actual_Repair_Start_Date]]=""),"N/A",(Table8[[#This Row],[Actual_Repair_Start_Date]]-Table8[[#This Row],[Garage_In_Date]])*24)</f>
        <v>25.300000000046566</v>
      </c>
      <c r="R41" s="3"/>
    </row>
    <row r="42" spans="1:18" ht="24.95" customHeight="1">
      <c r="A42" s="22" t="s">
        <v>78</v>
      </c>
      <c r="B42" s="23" t="s">
        <v>21</v>
      </c>
      <c r="C42" s="23" t="s">
        <v>15</v>
      </c>
      <c r="D42" s="14">
        <v>46040.427083333343</v>
      </c>
      <c r="E42" s="14">
        <v>46042.785416666673</v>
      </c>
      <c r="F42" s="14">
        <v>46043.785416666673</v>
      </c>
      <c r="G42" s="14">
        <v>46051.98541666667</v>
      </c>
      <c r="H42" s="14">
        <v>46043.785416666673</v>
      </c>
      <c r="I42" s="14">
        <v>46050</v>
      </c>
      <c r="J42" s="25" t="s">
        <v>36</v>
      </c>
      <c r="K42" s="27" t="s">
        <v>23</v>
      </c>
      <c r="L42" s="24">
        <f>(Table8[[#This Row],[Garage_Booked_DateTime]] - Table8[[#This Row],[Defect_Reported_DateTime]])*24</f>
        <v>56.599999999918509</v>
      </c>
      <c r="M42" s="24" t="str">
        <f>IF(Table8[[#This Row],[Vehicle_Type]]&lt;&gt;"Specialised", "Not Applicable", IF(Table8[[#This Row],[Hours_To_Book]]&gt;48, "Yes", "No"))</f>
        <v>Not Applicable</v>
      </c>
      <c r="N42" s="26">
        <f>(Table8[[#This Row],[Garage_Out_Date]]-Table8[[#This Row],[Garage_In_Date]])</f>
        <v>8.1999999999970896</v>
      </c>
      <c r="O42" s="26" t="str">
        <f>IF(Table8[[#This Row],[Total_VOR_Days]] &gt;3.5, "Yes", "No")</f>
        <v>Yes</v>
      </c>
      <c r="P42" s="26" t="str">
        <f>IF(Table8[[#This Row],[Vehicle_Type]]&lt;&gt;"Specialised","Not Applicable", IF(Table8[[#This Row],[Hours_To_Book]]&gt;48, "Not Assessed", IF(Table8[[#This Row],[Total_VOR_Days]]&gt;3.5, "Ineffective", "Effective")))</f>
        <v>Not Applicable</v>
      </c>
      <c r="Q42" s="44">
        <f>IF(OR(Table8[[#This Row],[Garage_In_Date]]="",Table8[[#This Row],[Actual_Repair_Start_Date]]=""),"N/A",(Table8[[#This Row],[Actual_Repair_Start_Date]]-Table8[[#This Row],[Garage_In_Date]])*24)</f>
        <v>0</v>
      </c>
      <c r="R42" s="3"/>
    </row>
    <row r="43" spans="1:18" ht="24.95" customHeight="1">
      <c r="A43" s="28" t="s">
        <v>79</v>
      </c>
      <c r="B43" s="29" t="s">
        <v>21</v>
      </c>
      <c r="C43" s="29" t="s">
        <v>188</v>
      </c>
      <c r="D43" s="17">
        <v>46138.708333333343</v>
      </c>
      <c r="E43" s="17">
        <v>46139.654166666667</v>
      </c>
      <c r="F43" s="17">
        <v>46141.154166666667</v>
      </c>
      <c r="G43" s="17">
        <v>46145.154166666667</v>
      </c>
      <c r="H43" s="17">
        <v>46143.479166666657</v>
      </c>
      <c r="I43" s="17">
        <v>46145</v>
      </c>
      <c r="J43" s="31" t="s">
        <v>33</v>
      </c>
      <c r="K43" s="33" t="s">
        <v>23</v>
      </c>
      <c r="L43" s="30">
        <f>(Table8[[#This Row],[Garage_Booked_DateTime]] - Table8[[#This Row],[Defect_Reported_DateTime]])*24</f>
        <v>22.699999999778811</v>
      </c>
      <c r="M43" s="30" t="str">
        <f>IF(Table8[[#This Row],[Vehicle_Type]]&lt;&gt;"Specialised", "Not Applicable", IF(Table8[[#This Row],[Hours_To_Book]]&gt;48, "Yes", "No"))</f>
        <v>Not Applicable</v>
      </c>
      <c r="N43" s="32">
        <f>(Table8[[#This Row],[Garage_Out_Date]]-Table8[[#This Row],[Garage_In_Date]])</f>
        <v>4</v>
      </c>
      <c r="O43" s="32" t="str">
        <f>IF(Table8[[#This Row],[Total_VOR_Days]] &gt;3.5, "Yes", "No")</f>
        <v>Yes</v>
      </c>
      <c r="P43" s="32" t="str">
        <f>IF(Table8[[#This Row],[Vehicle_Type]]&lt;&gt;"Specialised","Not Applicable", IF(Table8[[#This Row],[Hours_To_Book]]&gt;48, "Not Assessed", IF(Table8[[#This Row],[Total_VOR_Days]]&gt;3.5, "Ineffective", "Effective")))</f>
        <v>Not Applicable</v>
      </c>
      <c r="Q43" s="44">
        <f>IF(OR(Table8[[#This Row],[Garage_In_Date]]="",Table8[[#This Row],[Actual_Repair_Start_Date]]=""),"N/A",(Table8[[#This Row],[Actual_Repair_Start_Date]]-Table8[[#This Row],[Garage_In_Date]])*24)</f>
        <v>55.799999999755528</v>
      </c>
      <c r="R43" s="3"/>
    </row>
    <row r="44" spans="1:18" ht="24.95" customHeight="1">
      <c r="A44" s="22" t="s">
        <v>80</v>
      </c>
      <c r="B44" s="23" t="s">
        <v>21</v>
      </c>
      <c r="C44" s="23" t="s">
        <v>42</v>
      </c>
      <c r="D44" s="14">
        <v>46118.677083333343</v>
      </c>
      <c r="E44" s="14">
        <v>46121.035416666673</v>
      </c>
      <c r="F44" s="14">
        <v>46122.035416666673</v>
      </c>
      <c r="G44" s="14">
        <v>46131.335416666669</v>
      </c>
      <c r="H44" s="14">
        <v>46123.333333333343</v>
      </c>
      <c r="I44" s="14">
        <v>46131</v>
      </c>
      <c r="J44" s="25" t="s">
        <v>36</v>
      </c>
      <c r="K44" s="27" t="s">
        <v>44</v>
      </c>
      <c r="L44" s="24">
        <f>(Table8[[#This Row],[Garage_Booked_DateTime]] - Table8[[#This Row],[Defect_Reported_DateTime]])*24</f>
        <v>56.599999999918509</v>
      </c>
      <c r="M44" s="24" t="str">
        <f>IF(Table8[[#This Row],[Vehicle_Type]]&lt;&gt;"Specialised", "Not Applicable", IF(Table8[[#This Row],[Hours_To_Book]]&gt;48, "Yes", "No"))</f>
        <v>Not Applicable</v>
      </c>
      <c r="N44" s="26">
        <f>(Table8[[#This Row],[Garage_Out_Date]]-Table8[[#This Row],[Garage_In_Date]])</f>
        <v>9.2999999999956344</v>
      </c>
      <c r="O44" s="26" t="str">
        <f>IF(Table8[[#This Row],[Total_VOR_Days]] &gt;3.5, "Yes", "No")</f>
        <v>Yes</v>
      </c>
      <c r="P44" s="26" t="str">
        <f>IF(Table8[[#This Row],[Vehicle_Type]]&lt;&gt;"Specialised","Not Applicable", IF(Table8[[#This Row],[Hours_To_Book]]&gt;48, "Not Assessed", IF(Table8[[#This Row],[Total_VOR_Days]]&gt;3.5, "Ineffective", "Effective")))</f>
        <v>Not Applicable</v>
      </c>
      <c r="Q44" s="44">
        <f>IF(OR(Table8[[#This Row],[Garage_In_Date]]="",Table8[[#This Row],[Actual_Repair_Start_Date]]=""),"N/A",(Table8[[#This Row],[Actual_Repair_Start_Date]]-Table8[[#This Row],[Garage_In_Date]])*24)</f>
        <v>31.150000000081491</v>
      </c>
      <c r="R44" s="3"/>
    </row>
    <row r="45" spans="1:18" ht="24.95" customHeight="1">
      <c r="A45" s="28" t="s">
        <v>81</v>
      </c>
      <c r="B45" s="29" t="s">
        <v>14</v>
      </c>
      <c r="C45" s="29" t="s">
        <v>22</v>
      </c>
      <c r="D45" s="17">
        <v>46091.364583333343</v>
      </c>
      <c r="E45" s="17">
        <v>46092.943749999999</v>
      </c>
      <c r="F45" s="17">
        <v>46094.443749999999</v>
      </c>
      <c r="G45" s="17">
        <v>46098.243750000001</v>
      </c>
      <c r="H45" s="17">
        <v>46096.333333333343</v>
      </c>
      <c r="I45" s="17">
        <v>46097</v>
      </c>
      <c r="J45" s="31" t="s">
        <v>33</v>
      </c>
      <c r="K45" s="33" t="s">
        <v>23</v>
      </c>
      <c r="L45" s="30">
        <f>(Table8[[#This Row],[Garage_Booked_DateTime]] - Table8[[#This Row],[Defect_Reported_DateTime]])*24</f>
        <v>37.899999999732245</v>
      </c>
      <c r="M45" s="30" t="str">
        <f>IF(Table8[[#This Row],[Vehicle_Type]]&lt;&gt;"Specialised", "Not Applicable", IF(Table8[[#This Row],[Hours_To_Book]]&gt;48, "Yes", "No"))</f>
        <v>No</v>
      </c>
      <c r="N45" s="32">
        <f>(Table8[[#This Row],[Garage_Out_Date]]-Table8[[#This Row],[Garage_In_Date]])</f>
        <v>3.8000000000029104</v>
      </c>
      <c r="O45" s="32" t="str">
        <f>IF(Table8[[#This Row],[Total_VOR_Days]] &gt;3.5, "Yes", "No")</f>
        <v>Yes</v>
      </c>
      <c r="P45" s="32" t="str">
        <f>IF(Table8[[#This Row],[Vehicle_Type]]&lt;&gt;"Specialised","Not Applicable", IF(Table8[[#This Row],[Hours_To_Book]]&gt;48, "Not Assessed", IF(Table8[[#This Row],[Total_VOR_Days]]&gt;3.5, "Ineffective", "Effective")))</f>
        <v>Ineffective</v>
      </c>
      <c r="Q45" s="44">
        <f>IF(OR(Table8[[#This Row],[Garage_In_Date]]="",Table8[[#This Row],[Actual_Repair_Start_Date]]=""),"N/A",(Table8[[#This Row],[Actual_Repair_Start_Date]]-Table8[[#This Row],[Garage_In_Date]])*24)</f>
        <v>45.350000000267755</v>
      </c>
      <c r="R45" s="3"/>
    </row>
    <row r="46" spans="1:18" ht="24.95" customHeight="1">
      <c r="A46" s="22" t="s">
        <v>82</v>
      </c>
      <c r="B46" s="23" t="s">
        <v>21</v>
      </c>
      <c r="C46" s="23" t="s">
        <v>26</v>
      </c>
      <c r="D46" s="14">
        <v>46050.645833333343</v>
      </c>
      <c r="E46" s="14">
        <v>46052.854166666657</v>
      </c>
      <c r="F46" s="14">
        <v>46053.1875</v>
      </c>
      <c r="G46" s="14">
        <v>46057.487500000003</v>
      </c>
      <c r="H46" s="14">
        <v>46055.46875</v>
      </c>
      <c r="I46" s="14">
        <v>46057</v>
      </c>
      <c r="J46" s="25" t="s">
        <v>28</v>
      </c>
      <c r="K46" s="27" t="s">
        <v>31</v>
      </c>
      <c r="L46" s="24">
        <f>(Table8[[#This Row],[Garage_Booked_DateTime]] - Table8[[#This Row],[Defect_Reported_DateTime]])*24</f>
        <v>52.999999999534339</v>
      </c>
      <c r="M46" s="24" t="str">
        <f>IF(Table8[[#This Row],[Vehicle_Type]]&lt;&gt;"Specialised", "Not Applicable", IF(Table8[[#This Row],[Hours_To_Book]]&gt;48, "Yes", "No"))</f>
        <v>Not Applicable</v>
      </c>
      <c r="N46" s="26">
        <f>(Table8[[#This Row],[Garage_Out_Date]]-Table8[[#This Row],[Garage_In_Date]])</f>
        <v>4.3000000000029104</v>
      </c>
      <c r="O46" s="26" t="str">
        <f>IF(Table8[[#This Row],[Total_VOR_Days]] &gt;3.5, "Yes", "No")</f>
        <v>Yes</v>
      </c>
      <c r="P46" s="26" t="str">
        <f>IF(Table8[[#This Row],[Vehicle_Type]]&lt;&gt;"Specialised","Not Applicable", IF(Table8[[#This Row],[Hours_To_Book]]&gt;48, "Not Assessed", IF(Table8[[#This Row],[Total_VOR_Days]]&gt;3.5, "Ineffective", "Effective")))</f>
        <v>Not Applicable</v>
      </c>
      <c r="Q46" s="44">
        <f>IF(OR(Table8[[#This Row],[Garage_In_Date]]="",Table8[[#This Row],[Actual_Repair_Start_Date]]=""),"N/A",(Table8[[#This Row],[Actual_Repair_Start_Date]]-Table8[[#This Row],[Garage_In_Date]])*24)</f>
        <v>54.75</v>
      </c>
      <c r="R46" s="3"/>
    </row>
    <row r="47" spans="1:18" ht="24.95" customHeight="1">
      <c r="A47" s="28" t="s">
        <v>84</v>
      </c>
      <c r="B47" s="29" t="s">
        <v>21</v>
      </c>
      <c r="C47" s="29" t="s">
        <v>22</v>
      </c>
      <c r="D47" s="17">
        <v>46092.354166666657</v>
      </c>
      <c r="E47" s="17">
        <v>46093.754166666673</v>
      </c>
      <c r="F47" s="17">
        <v>46093.92083333333</v>
      </c>
      <c r="G47" s="17">
        <v>46096.120833333327</v>
      </c>
      <c r="H47" s="17">
        <v>46094.458333333343</v>
      </c>
      <c r="I47" s="17">
        <v>46096</v>
      </c>
      <c r="J47" s="31" t="s">
        <v>19</v>
      </c>
      <c r="K47" s="33" t="s">
        <v>31</v>
      </c>
      <c r="L47" s="30">
        <f>(Table8[[#This Row],[Garage_Booked_DateTime]] - Table8[[#This Row],[Defect_Reported_DateTime]])*24</f>
        <v>33.600000000384171</v>
      </c>
      <c r="M47" s="30" t="str">
        <f>IF(Table8[[#This Row],[Vehicle_Type]]&lt;&gt;"Specialised", "Not Applicable", IF(Table8[[#This Row],[Hours_To_Book]]&gt;48, "Yes", "No"))</f>
        <v>Not Applicable</v>
      </c>
      <c r="N47" s="32">
        <f>(Table8[[#This Row],[Garage_Out_Date]]-Table8[[#This Row],[Garage_In_Date]])</f>
        <v>2.1999999999970896</v>
      </c>
      <c r="O47" s="32" t="str">
        <f>IF(Table8[[#This Row],[Total_VOR_Days]] &gt;3.5, "Yes", "No")</f>
        <v>No</v>
      </c>
      <c r="P47" s="32" t="str">
        <f>IF(Table8[[#This Row],[Vehicle_Type]]&lt;&gt;"Specialised","Not Applicable", IF(Table8[[#This Row],[Hours_To_Book]]&gt;48, "Not Assessed", IF(Table8[[#This Row],[Total_VOR_Days]]&gt;3.5, "Ineffective", "Effective")))</f>
        <v>Not Applicable</v>
      </c>
      <c r="Q47" s="44">
        <f>IF(OR(Table8[[#This Row],[Garage_In_Date]]="",Table8[[#This Row],[Actual_Repair_Start_Date]]=""),"N/A",(Table8[[#This Row],[Actual_Repair_Start_Date]]-Table8[[#This Row],[Garage_In_Date]])*24)</f>
        <v>12.900000000314321</v>
      </c>
      <c r="R47" s="3"/>
    </row>
    <row r="48" spans="1:18" ht="24.95" customHeight="1">
      <c r="A48" s="22" t="s">
        <v>85</v>
      </c>
      <c r="B48" s="23" t="s">
        <v>21</v>
      </c>
      <c r="C48" s="23" t="s">
        <v>42</v>
      </c>
      <c r="D48" s="14">
        <v>46042.46875</v>
      </c>
      <c r="E48" s="14">
        <v>46043.464583333327</v>
      </c>
      <c r="F48" s="14">
        <v>46044.464583333327</v>
      </c>
      <c r="G48" s="14">
        <v>46047.464583333327</v>
      </c>
      <c r="H48" s="14">
        <v>46047.354166666657</v>
      </c>
      <c r="I48" s="14">
        <v>46046</v>
      </c>
      <c r="J48" s="25" t="s">
        <v>19</v>
      </c>
      <c r="K48" s="27" t="s">
        <v>86</v>
      </c>
      <c r="L48" s="24">
        <f>(Table8[[#This Row],[Garage_Booked_DateTime]] - Table8[[#This Row],[Defect_Reported_DateTime]])*24</f>
        <v>23.89999999984866</v>
      </c>
      <c r="M48" s="24" t="str">
        <f>IF(Table8[[#This Row],[Vehicle_Type]]&lt;&gt;"Specialised", "Not Applicable", IF(Table8[[#This Row],[Hours_To_Book]]&gt;48, "Yes", "No"))</f>
        <v>Not Applicable</v>
      </c>
      <c r="N48" s="26">
        <f>(Table8[[#This Row],[Garage_Out_Date]]-Table8[[#This Row],[Garage_In_Date]])</f>
        <v>3</v>
      </c>
      <c r="O48" s="26" t="str">
        <f>IF(Table8[[#This Row],[Total_VOR_Days]] &gt;3.5, "Yes", "No")</f>
        <v>No</v>
      </c>
      <c r="P48" s="26" t="str">
        <f>IF(Table8[[#This Row],[Vehicle_Type]]&lt;&gt;"Specialised","Not Applicable", IF(Table8[[#This Row],[Hours_To_Book]]&gt;48, "Not Assessed", IF(Table8[[#This Row],[Total_VOR_Days]]&gt;3.5, "Ineffective", "Effective")))</f>
        <v>Not Applicable</v>
      </c>
      <c r="Q48" s="44">
        <f>IF(OR(Table8[[#This Row],[Garage_In_Date]]="",Table8[[#This Row],[Actual_Repair_Start_Date]]=""),"N/A",(Table8[[#This Row],[Actual_Repair_Start_Date]]-Table8[[#This Row],[Garage_In_Date]])*24)</f>
        <v>69.349999999918509</v>
      </c>
      <c r="R48" s="3"/>
    </row>
    <row r="49" spans="1:18" ht="24.95" customHeight="1">
      <c r="A49" s="28" t="s">
        <v>87</v>
      </c>
      <c r="B49" s="29" t="s">
        <v>21</v>
      </c>
      <c r="C49" s="29" t="s">
        <v>22</v>
      </c>
      <c r="D49" s="17">
        <v>46114.385416666657</v>
      </c>
      <c r="E49" s="17">
        <v>46115.643750000003</v>
      </c>
      <c r="F49" s="17">
        <v>46115.977083333331</v>
      </c>
      <c r="G49" s="17">
        <v>46120.57708333333</v>
      </c>
      <c r="H49" s="17">
        <v>46116.375</v>
      </c>
      <c r="I49" s="17">
        <v>46121</v>
      </c>
      <c r="J49" s="31" t="s">
        <v>33</v>
      </c>
      <c r="K49" s="33" t="s">
        <v>48</v>
      </c>
      <c r="L49" s="30">
        <f>(Table8[[#This Row],[Garage_Booked_DateTime]] - Table8[[#This Row],[Defect_Reported_DateTime]])*24</f>
        <v>30.20000000030268</v>
      </c>
      <c r="M49" s="30" t="str">
        <f>IF(Table8[[#This Row],[Vehicle_Type]]&lt;&gt;"Specialised", "Not Applicable", IF(Table8[[#This Row],[Hours_To_Book]]&gt;48, "Yes", "No"))</f>
        <v>Not Applicable</v>
      </c>
      <c r="N49" s="32">
        <f>(Table8[[#This Row],[Garage_Out_Date]]-Table8[[#This Row],[Garage_In_Date]])</f>
        <v>4.5999999999985448</v>
      </c>
      <c r="O49" s="32" t="str">
        <f>IF(Table8[[#This Row],[Total_VOR_Days]] &gt;3.5, "Yes", "No")</f>
        <v>Yes</v>
      </c>
      <c r="P49" s="32" t="str">
        <f>IF(Table8[[#This Row],[Vehicle_Type]]&lt;&gt;"Specialised","Not Applicable", IF(Table8[[#This Row],[Hours_To_Book]]&gt;48, "Not Assessed", IF(Table8[[#This Row],[Total_VOR_Days]]&gt;3.5, "Ineffective", "Effective")))</f>
        <v>Not Applicable</v>
      </c>
      <c r="Q49" s="44">
        <f>IF(OR(Table8[[#This Row],[Garage_In_Date]]="",Table8[[#This Row],[Actual_Repair_Start_Date]]=""),"N/A",(Table8[[#This Row],[Actual_Repair_Start_Date]]-Table8[[#This Row],[Garage_In_Date]])*24)</f>
        <v>9.5500000000465661</v>
      </c>
      <c r="R49" s="3"/>
    </row>
    <row r="50" spans="1:18" ht="24.95" customHeight="1">
      <c r="A50" s="22" t="s">
        <v>88</v>
      </c>
      <c r="B50" s="23" t="s">
        <v>21</v>
      </c>
      <c r="C50" s="23" t="s">
        <v>15</v>
      </c>
      <c r="D50" s="14">
        <v>46098.458333333343</v>
      </c>
      <c r="E50" s="14">
        <v>46100.883333333331</v>
      </c>
      <c r="F50" s="14">
        <v>46102.883333333331</v>
      </c>
      <c r="G50" s="14">
        <v>46107.583333333343</v>
      </c>
      <c r="H50" s="14">
        <v>46103.385416666657</v>
      </c>
      <c r="I50" s="14">
        <v>46107</v>
      </c>
      <c r="J50" s="25" t="s">
        <v>163</v>
      </c>
      <c r="K50" s="27" t="s">
        <v>89</v>
      </c>
      <c r="L50" s="24">
        <f>(Table8[[#This Row],[Garage_Booked_DateTime]] - Table8[[#This Row],[Defect_Reported_DateTime]])*24</f>
        <v>58.199999999720603</v>
      </c>
      <c r="M50" s="24" t="str">
        <f>IF(Table8[[#This Row],[Vehicle_Type]]&lt;&gt;"Specialised", "Not Applicable", IF(Table8[[#This Row],[Hours_To_Book]]&gt;48, "Yes", "No"))</f>
        <v>Not Applicable</v>
      </c>
      <c r="N50" s="26">
        <f>(Table8[[#This Row],[Garage_Out_Date]]-Table8[[#This Row],[Garage_In_Date]])</f>
        <v>4.7000000000116415</v>
      </c>
      <c r="O50" s="26" t="str">
        <f>IF(Table8[[#This Row],[Total_VOR_Days]] &gt;3.5, "Yes", "No")</f>
        <v>Yes</v>
      </c>
      <c r="P50" s="26" t="str">
        <f>IF(Table8[[#This Row],[Vehicle_Type]]&lt;&gt;"Specialised","Not Applicable", IF(Table8[[#This Row],[Hours_To_Book]]&gt;48, "Not Assessed", IF(Table8[[#This Row],[Total_VOR_Days]]&gt;3.5, "Ineffective", "Effective")))</f>
        <v>Not Applicable</v>
      </c>
      <c r="Q50" s="44">
        <f>IF(OR(Table8[[#This Row],[Garage_In_Date]]="",Table8[[#This Row],[Actual_Repair_Start_Date]]=""),"N/A",(Table8[[#This Row],[Actual_Repair_Start_Date]]-Table8[[#This Row],[Garage_In_Date]])*24)</f>
        <v>12.049999999813735</v>
      </c>
      <c r="R50" s="3"/>
    </row>
    <row r="51" spans="1:18" ht="24.95" customHeight="1">
      <c r="A51" s="28" t="s">
        <v>90</v>
      </c>
      <c r="B51" s="29" t="s">
        <v>21</v>
      </c>
      <c r="C51" s="29" t="s">
        <v>42</v>
      </c>
      <c r="D51" s="17">
        <v>46077.541666666657</v>
      </c>
      <c r="E51" s="17">
        <v>46078.066666666673</v>
      </c>
      <c r="F51" s="17">
        <v>46079.566666666673</v>
      </c>
      <c r="G51" s="17">
        <v>46083.566666666673</v>
      </c>
      <c r="H51" s="17">
        <v>46080.354166666657</v>
      </c>
      <c r="I51" s="17">
        <v>46083</v>
      </c>
      <c r="J51" s="31" t="s">
        <v>36</v>
      </c>
      <c r="K51" s="33" t="s">
        <v>44</v>
      </c>
      <c r="L51" s="30">
        <f>(Table8[[#This Row],[Garage_Booked_DateTime]] - Table8[[#This Row],[Defect_Reported_DateTime]])*24</f>
        <v>12.600000000384171</v>
      </c>
      <c r="M51" s="30" t="str">
        <f>IF(Table8[[#This Row],[Vehicle_Type]]&lt;&gt;"Specialised", "Not Applicable", IF(Table8[[#This Row],[Hours_To_Book]]&gt;48, "Yes", "No"))</f>
        <v>Not Applicable</v>
      </c>
      <c r="N51" s="32">
        <f>(Table8[[#This Row],[Garage_Out_Date]]-Table8[[#This Row],[Garage_In_Date]])</f>
        <v>4</v>
      </c>
      <c r="O51" s="32" t="str">
        <f>IF(Table8[[#This Row],[Total_VOR_Days]] &gt;3.5, "Yes", "No")</f>
        <v>Yes</v>
      </c>
      <c r="P51" s="32" t="str">
        <f>IF(Table8[[#This Row],[Vehicle_Type]]&lt;&gt;"Specialised","Not Applicable", IF(Table8[[#This Row],[Hours_To_Book]]&gt;48, "Not Assessed", IF(Table8[[#This Row],[Total_VOR_Days]]&gt;3.5, "Ineffective", "Effective")))</f>
        <v>Not Applicable</v>
      </c>
      <c r="Q51" s="44">
        <f>IF(OR(Table8[[#This Row],[Garage_In_Date]]="",Table8[[#This Row],[Actual_Repair_Start_Date]]=""),"N/A",(Table8[[#This Row],[Actual_Repair_Start_Date]]-Table8[[#This Row],[Garage_In_Date]])*24)</f>
        <v>18.899999999615829</v>
      </c>
      <c r="R51" s="3"/>
    </row>
    <row r="52" spans="1:18" ht="24.95" customHeight="1">
      <c r="A52" s="22" t="s">
        <v>91</v>
      </c>
      <c r="B52" s="23" t="s">
        <v>21</v>
      </c>
      <c r="C52" s="23" t="s">
        <v>22</v>
      </c>
      <c r="D52" s="14">
        <v>46042.59375</v>
      </c>
      <c r="E52" s="14">
        <v>46044.768750000003</v>
      </c>
      <c r="F52" s="14">
        <v>46046.768750000003</v>
      </c>
      <c r="G52" s="14">
        <v>46048.068749999999</v>
      </c>
      <c r="H52" s="14">
        <v>46046.935416666667</v>
      </c>
      <c r="I52" s="14">
        <v>46048</v>
      </c>
      <c r="J52" s="25" t="s">
        <v>19</v>
      </c>
      <c r="K52" s="27" t="s">
        <v>86</v>
      </c>
      <c r="L52" s="24">
        <f>(Table8[[#This Row],[Garage_Booked_DateTime]] - Table8[[#This Row],[Defect_Reported_DateTime]])*24</f>
        <v>52.200000000069849</v>
      </c>
      <c r="M52" s="24" t="str">
        <f>IF(Table8[[#This Row],[Vehicle_Type]]&lt;&gt;"Specialised", "Not Applicable", IF(Table8[[#This Row],[Hours_To_Book]]&gt;48, "Yes", "No"))</f>
        <v>Not Applicable</v>
      </c>
      <c r="N52" s="26">
        <f>(Table8[[#This Row],[Garage_Out_Date]]-Table8[[#This Row],[Garage_In_Date]])</f>
        <v>1.2999999999956344</v>
      </c>
      <c r="O52" s="26" t="str">
        <f>IF(Table8[[#This Row],[Total_VOR_Days]] &gt;3.5, "Yes", "No")</f>
        <v>No</v>
      </c>
      <c r="P52" s="26" t="str">
        <f>IF(Table8[[#This Row],[Vehicle_Type]]&lt;&gt;"Specialised","Not Applicable", IF(Table8[[#This Row],[Hours_To_Book]]&gt;48, "Not Assessed", IF(Table8[[#This Row],[Total_VOR_Days]]&gt;3.5, "Ineffective", "Effective")))</f>
        <v>Not Applicable</v>
      </c>
      <c r="Q52" s="44">
        <f>IF(OR(Table8[[#This Row],[Garage_In_Date]]="",Table8[[#This Row],[Actual_Repair_Start_Date]]=""),"N/A",(Table8[[#This Row],[Actual_Repair_Start_Date]]-Table8[[#This Row],[Garage_In_Date]])*24)</f>
        <v>3.9999999999417923</v>
      </c>
      <c r="R52" s="3"/>
    </row>
    <row r="53" spans="1:18" ht="24.95" customHeight="1">
      <c r="A53" s="28" t="s">
        <v>92</v>
      </c>
      <c r="B53" s="29" t="s">
        <v>21</v>
      </c>
      <c r="C53" s="29" t="s">
        <v>26</v>
      </c>
      <c r="D53" s="17">
        <v>46064.458333333343</v>
      </c>
      <c r="E53" s="17">
        <v>46066.570833333331</v>
      </c>
      <c r="F53" s="17">
        <v>46066.904166666667</v>
      </c>
      <c r="G53" s="17">
        <v>46072.20416666667</v>
      </c>
      <c r="H53" s="17">
        <v>46067.385416666657</v>
      </c>
      <c r="I53" s="17">
        <v>46071</v>
      </c>
      <c r="J53" s="31" t="s">
        <v>33</v>
      </c>
      <c r="K53" s="33" t="s">
        <v>89</v>
      </c>
      <c r="L53" s="30">
        <f>(Table8[[#This Row],[Garage_Booked_DateTime]] - Table8[[#This Row],[Defect_Reported_DateTime]])*24</f>
        <v>50.699999999720603</v>
      </c>
      <c r="M53" s="30" t="str">
        <f>IF(Table8[[#This Row],[Vehicle_Type]]&lt;&gt;"Specialised", "Not Applicable", IF(Table8[[#This Row],[Hours_To_Book]]&gt;48, "Yes", "No"))</f>
        <v>Not Applicable</v>
      </c>
      <c r="N53" s="32">
        <f>(Table8[[#This Row],[Garage_Out_Date]]-Table8[[#This Row],[Garage_In_Date]])</f>
        <v>5.3000000000029104</v>
      </c>
      <c r="O53" s="32" t="str">
        <f>IF(Table8[[#This Row],[Total_VOR_Days]] &gt;3.5, "Yes", "No")</f>
        <v>Yes</v>
      </c>
      <c r="P53" s="32" t="str">
        <f>IF(Table8[[#This Row],[Vehicle_Type]]&lt;&gt;"Specialised","Not Applicable", IF(Table8[[#This Row],[Hours_To_Book]]&gt;48, "Not Assessed", IF(Table8[[#This Row],[Total_VOR_Days]]&gt;3.5, "Ineffective", "Effective")))</f>
        <v>Not Applicable</v>
      </c>
      <c r="Q53" s="44">
        <f>IF(OR(Table8[[#This Row],[Garage_In_Date]]="",Table8[[#This Row],[Actual_Repair_Start_Date]]=""),"N/A",(Table8[[#This Row],[Actual_Repair_Start_Date]]-Table8[[#This Row],[Garage_In_Date]])*24)</f>
        <v>11.549999999755528</v>
      </c>
      <c r="R53" s="3"/>
    </row>
    <row r="54" spans="1:18" ht="24.95" customHeight="1">
      <c r="A54" s="22" t="s">
        <v>93</v>
      </c>
      <c r="B54" s="23" t="s">
        <v>21</v>
      </c>
      <c r="C54" s="23" t="s">
        <v>30</v>
      </c>
      <c r="D54" s="14">
        <v>46085.479166666657</v>
      </c>
      <c r="E54" s="14">
        <v>46087.308333333327</v>
      </c>
      <c r="F54" s="14">
        <v>46087.64166666667</v>
      </c>
      <c r="G54" s="14">
        <v>46089.64166666667</v>
      </c>
      <c r="H54" s="14">
        <v>46087.808333333327</v>
      </c>
      <c r="I54" s="14">
        <v>46089</v>
      </c>
      <c r="J54" s="25" t="s">
        <v>19</v>
      </c>
      <c r="K54" s="27" t="s">
        <v>38</v>
      </c>
      <c r="L54" s="24">
        <f>(Table8[[#This Row],[Garage_Booked_DateTime]] - Table8[[#This Row],[Defect_Reported_DateTime]])*24</f>
        <v>43.900000000081491</v>
      </c>
      <c r="M54" s="24" t="str">
        <f>IF(Table8[[#This Row],[Vehicle_Type]]&lt;&gt;"Specialised", "Not Applicable", IF(Table8[[#This Row],[Hours_To_Book]]&gt;48, "Yes", "No"))</f>
        <v>Not Applicable</v>
      </c>
      <c r="N54" s="26">
        <f>(Table8[[#This Row],[Garage_Out_Date]]-Table8[[#This Row],[Garage_In_Date]])</f>
        <v>2</v>
      </c>
      <c r="O54" s="26" t="str">
        <f>IF(Table8[[#This Row],[Total_VOR_Days]] &gt;3.5, "Yes", "No")</f>
        <v>No</v>
      </c>
      <c r="P54" s="26" t="str">
        <f>IF(Table8[[#This Row],[Vehicle_Type]]&lt;&gt;"Specialised","Not Applicable", IF(Table8[[#This Row],[Hours_To_Book]]&gt;48, "Not Assessed", IF(Table8[[#This Row],[Total_VOR_Days]]&gt;3.5, "Ineffective", "Effective")))</f>
        <v>Not Applicable</v>
      </c>
      <c r="Q54" s="44">
        <f>IF(OR(Table8[[#This Row],[Garage_In_Date]]="",Table8[[#This Row],[Actual_Repair_Start_Date]]=""),"N/A",(Table8[[#This Row],[Actual_Repair_Start_Date]]-Table8[[#This Row],[Garage_In_Date]])*24)</f>
        <v>3.9999999997671694</v>
      </c>
      <c r="R54" s="3"/>
    </row>
    <row r="55" spans="1:18" ht="24.95" customHeight="1">
      <c r="A55" s="28" t="s">
        <v>94</v>
      </c>
      <c r="B55" s="29" t="s">
        <v>14</v>
      </c>
      <c r="C55" s="29" t="s">
        <v>188</v>
      </c>
      <c r="D55" s="17">
        <v>46085.677083333343</v>
      </c>
      <c r="E55" s="17">
        <v>46087.502083333333</v>
      </c>
      <c r="F55" s="17">
        <v>46089.502083333333</v>
      </c>
      <c r="G55" s="17">
        <v>46090.602083333331</v>
      </c>
      <c r="H55" s="17">
        <v>46090.333333333343</v>
      </c>
      <c r="I55" s="17">
        <v>46089</v>
      </c>
      <c r="J55" s="31" t="s">
        <v>19</v>
      </c>
      <c r="K55" s="33" t="s">
        <v>48</v>
      </c>
      <c r="L55" s="30">
        <f>(Table8[[#This Row],[Garage_Booked_DateTime]] - Table8[[#This Row],[Defect_Reported_DateTime]])*24</f>
        <v>43.799999999755528</v>
      </c>
      <c r="M55" s="30" t="str">
        <f>IF(Table8[[#This Row],[Vehicle_Type]]&lt;&gt;"Specialised", "Not Applicable", IF(Table8[[#This Row],[Hours_To_Book]]&gt;48, "Yes", "No"))</f>
        <v>No</v>
      </c>
      <c r="N55" s="32">
        <f>(Table8[[#This Row],[Garage_Out_Date]]-Table8[[#This Row],[Garage_In_Date]])</f>
        <v>1.0999999999985448</v>
      </c>
      <c r="O55" s="32" t="str">
        <f>IF(Table8[[#This Row],[Total_VOR_Days]] &gt;3.5, "Yes", "No")</f>
        <v>No</v>
      </c>
      <c r="P55" s="32" t="str">
        <f>IF(Table8[[#This Row],[Vehicle_Type]]&lt;&gt;"Specialised","Not Applicable", IF(Table8[[#This Row],[Hours_To_Book]]&gt;48, "Not Assessed", IF(Table8[[#This Row],[Total_VOR_Days]]&gt;3.5, "Ineffective", "Effective")))</f>
        <v>Effective</v>
      </c>
      <c r="Q55" s="44">
        <f>IF(OR(Table8[[#This Row],[Garage_In_Date]]="",Table8[[#This Row],[Actual_Repair_Start_Date]]=""),"N/A",(Table8[[#This Row],[Actual_Repair_Start_Date]]-Table8[[#This Row],[Garage_In_Date]])*24)</f>
        <v>19.950000000244472</v>
      </c>
      <c r="R55" s="3"/>
    </row>
    <row r="56" spans="1:18" ht="24.95" customHeight="1">
      <c r="A56" s="22" t="s">
        <v>95</v>
      </c>
      <c r="B56" s="23" t="s">
        <v>14</v>
      </c>
      <c r="C56" s="23" t="s">
        <v>26</v>
      </c>
      <c r="D56" s="14">
        <v>46070.645833333343</v>
      </c>
      <c r="E56" s="14">
        <v>46071.9375</v>
      </c>
      <c r="F56" s="14">
        <v>46072.9375</v>
      </c>
      <c r="G56" s="14">
        <v>46079.637499999997</v>
      </c>
      <c r="H56" s="14">
        <v>46073.385416666657</v>
      </c>
      <c r="I56" s="14">
        <v>46078</v>
      </c>
      <c r="J56" s="25" t="s">
        <v>163</v>
      </c>
      <c r="K56" s="27" t="s">
        <v>48</v>
      </c>
      <c r="L56" s="24">
        <f>(Table8[[#This Row],[Garage_Booked_DateTime]] - Table8[[#This Row],[Defect_Reported_DateTime]])*24</f>
        <v>30.999999999767169</v>
      </c>
      <c r="M56" s="24" t="str">
        <f>IF(Table8[[#This Row],[Vehicle_Type]]&lt;&gt;"Specialised", "Not Applicable", IF(Table8[[#This Row],[Hours_To_Book]]&gt;48, "Yes", "No"))</f>
        <v>No</v>
      </c>
      <c r="N56" s="26">
        <f>(Table8[[#This Row],[Garage_Out_Date]]-Table8[[#This Row],[Garage_In_Date]])</f>
        <v>6.6999999999970896</v>
      </c>
      <c r="O56" s="26" t="str">
        <f>IF(Table8[[#This Row],[Total_VOR_Days]] &gt;3.5, "Yes", "No")</f>
        <v>Yes</v>
      </c>
      <c r="P56" s="26" t="str">
        <f>IF(Table8[[#This Row],[Vehicle_Type]]&lt;&gt;"Specialised","Not Applicable", IF(Table8[[#This Row],[Hours_To_Book]]&gt;48, "Not Assessed", IF(Table8[[#This Row],[Total_VOR_Days]]&gt;3.5, "Ineffective", "Effective")))</f>
        <v>Ineffective</v>
      </c>
      <c r="Q56" s="44">
        <f>IF(OR(Table8[[#This Row],[Garage_In_Date]]="",Table8[[#This Row],[Actual_Repair_Start_Date]]=""),"N/A",(Table8[[#This Row],[Actual_Repair_Start_Date]]-Table8[[#This Row],[Garage_In_Date]])*24)</f>
        <v>10.749999999767169</v>
      </c>
      <c r="R56" s="3"/>
    </row>
    <row r="57" spans="1:18" ht="24.95" customHeight="1">
      <c r="A57" s="28" t="s">
        <v>96</v>
      </c>
      <c r="B57" s="29" t="s">
        <v>21</v>
      </c>
      <c r="C57" s="29" t="s">
        <v>26</v>
      </c>
      <c r="D57" s="17">
        <v>46038.677083333343</v>
      </c>
      <c r="E57" s="17">
        <v>46040.943749999999</v>
      </c>
      <c r="F57" s="17">
        <v>46041.11041666667</v>
      </c>
      <c r="G57" s="17">
        <v>46045.810416666667</v>
      </c>
      <c r="H57" s="17">
        <v>46041.11041666667</v>
      </c>
      <c r="I57" s="17">
        <v>46046</v>
      </c>
      <c r="J57" s="31" t="s">
        <v>28</v>
      </c>
      <c r="K57" s="33" t="s">
        <v>38</v>
      </c>
      <c r="L57" s="30">
        <f>(Table8[[#This Row],[Garage_Booked_DateTime]] - Table8[[#This Row],[Defect_Reported_DateTime]])*24</f>
        <v>54.399999999732245</v>
      </c>
      <c r="M57" s="30" t="str">
        <f>IF(Table8[[#This Row],[Vehicle_Type]]&lt;&gt;"Specialised", "Not Applicable", IF(Table8[[#This Row],[Hours_To_Book]]&gt;48, "Yes", "No"))</f>
        <v>Not Applicable</v>
      </c>
      <c r="N57" s="32">
        <f>(Table8[[#This Row],[Garage_Out_Date]]-Table8[[#This Row],[Garage_In_Date]])</f>
        <v>4.6999999999970896</v>
      </c>
      <c r="O57" s="32" t="str">
        <f>IF(Table8[[#This Row],[Total_VOR_Days]] &gt;3.5, "Yes", "No")</f>
        <v>Yes</v>
      </c>
      <c r="P57" s="32" t="str">
        <f>IF(Table8[[#This Row],[Vehicle_Type]]&lt;&gt;"Specialised","Not Applicable", IF(Table8[[#This Row],[Hours_To_Book]]&gt;48, "Not Assessed", IF(Table8[[#This Row],[Total_VOR_Days]]&gt;3.5, "Ineffective", "Effective")))</f>
        <v>Not Applicable</v>
      </c>
      <c r="Q57" s="44">
        <f>IF(OR(Table8[[#This Row],[Garage_In_Date]]="",Table8[[#This Row],[Actual_Repair_Start_Date]]=""),"N/A",(Table8[[#This Row],[Actual_Repair_Start_Date]]-Table8[[#This Row],[Garage_In_Date]])*24)</f>
        <v>0</v>
      </c>
      <c r="R57" s="3"/>
    </row>
    <row r="58" spans="1:18" ht="24.95" customHeight="1">
      <c r="A58" s="22" t="s">
        <v>97</v>
      </c>
      <c r="B58" s="23" t="s">
        <v>21</v>
      </c>
      <c r="C58" s="23" t="s">
        <v>30</v>
      </c>
      <c r="D58" s="14">
        <v>46060.479166666657</v>
      </c>
      <c r="E58" s="14">
        <v>46063.804166666669</v>
      </c>
      <c r="F58" s="14">
        <v>46063.970833333333</v>
      </c>
      <c r="G58" s="14">
        <v>46067.17083333333</v>
      </c>
      <c r="H58" s="14">
        <v>46066.354166666657</v>
      </c>
      <c r="I58" s="14">
        <v>46068</v>
      </c>
      <c r="J58" s="25" t="s">
        <v>19</v>
      </c>
      <c r="K58" s="27" t="s">
        <v>35</v>
      </c>
      <c r="L58" s="24">
        <f>(Table8[[#This Row],[Garage_Booked_DateTime]] - Table8[[#This Row],[Defect_Reported_DateTime]])*24</f>
        <v>79.800000000279397</v>
      </c>
      <c r="M58" s="24" t="str">
        <f>IF(Table8[[#This Row],[Vehicle_Type]]&lt;&gt;"Specialised", "Not Applicable", IF(Table8[[#This Row],[Hours_To_Book]]&gt;48, "Yes", "No"))</f>
        <v>Not Applicable</v>
      </c>
      <c r="N58" s="26">
        <f>(Table8[[#This Row],[Garage_Out_Date]]-Table8[[#This Row],[Garage_In_Date]])</f>
        <v>3.1999999999970896</v>
      </c>
      <c r="O58" s="26" t="str">
        <f>IF(Table8[[#This Row],[Total_VOR_Days]] &gt;3.5, "Yes", "No")</f>
        <v>No</v>
      </c>
      <c r="P58" s="26" t="str">
        <f>IF(Table8[[#This Row],[Vehicle_Type]]&lt;&gt;"Specialised","Not Applicable", IF(Table8[[#This Row],[Hours_To_Book]]&gt;48, "Not Assessed", IF(Table8[[#This Row],[Total_VOR_Days]]&gt;3.5, "Ineffective", "Effective")))</f>
        <v>Not Applicable</v>
      </c>
      <c r="Q58" s="44">
        <f>IF(OR(Table8[[#This Row],[Garage_In_Date]]="",Table8[[#This Row],[Actual_Repair_Start_Date]]=""),"N/A",(Table8[[#This Row],[Actual_Repair_Start_Date]]-Table8[[#This Row],[Garage_In_Date]])*24)</f>
        <v>57.199999999778811</v>
      </c>
      <c r="R58" s="3"/>
    </row>
    <row r="59" spans="1:18" ht="24.95" customHeight="1">
      <c r="A59" s="28" t="s">
        <v>98</v>
      </c>
      <c r="B59" s="29" t="s">
        <v>14</v>
      </c>
      <c r="C59" s="29" t="s">
        <v>42</v>
      </c>
      <c r="D59" s="17">
        <v>46085.375</v>
      </c>
      <c r="E59" s="17">
        <v>46087.10833333333</v>
      </c>
      <c r="F59" s="17">
        <v>46088.60833333333</v>
      </c>
      <c r="G59" s="17">
        <v>46092.308333333327</v>
      </c>
      <c r="H59" s="17">
        <v>46089.385416666657</v>
      </c>
      <c r="I59" s="17">
        <v>46091</v>
      </c>
      <c r="J59" s="31" t="s">
        <v>163</v>
      </c>
      <c r="K59" s="33" t="s">
        <v>38</v>
      </c>
      <c r="L59" s="30">
        <f>(Table8[[#This Row],[Garage_Booked_DateTime]] - Table8[[#This Row],[Defect_Reported_DateTime]])*24</f>
        <v>41.599999999918509</v>
      </c>
      <c r="M59" s="30" t="str">
        <f>IF(Table8[[#This Row],[Vehicle_Type]]&lt;&gt;"Specialised", "Not Applicable", IF(Table8[[#This Row],[Hours_To_Book]]&gt;48, "Yes", "No"))</f>
        <v>No</v>
      </c>
      <c r="N59" s="32">
        <f>(Table8[[#This Row],[Garage_Out_Date]]-Table8[[#This Row],[Garage_In_Date]])</f>
        <v>3.6999999999970896</v>
      </c>
      <c r="O59" s="32" t="str">
        <f>IF(Table8[[#This Row],[Total_VOR_Days]] &gt;3.5, "Yes", "No")</f>
        <v>Yes</v>
      </c>
      <c r="P59" s="32" t="str">
        <f>IF(Table8[[#This Row],[Vehicle_Type]]&lt;&gt;"Specialised","Not Applicable", IF(Table8[[#This Row],[Hours_To_Book]]&gt;48, "Not Assessed", IF(Table8[[#This Row],[Total_VOR_Days]]&gt;3.5, "Ineffective", "Effective")))</f>
        <v>Ineffective</v>
      </c>
      <c r="Q59" s="44">
        <f>IF(OR(Table8[[#This Row],[Garage_In_Date]]="",Table8[[#This Row],[Actual_Repair_Start_Date]]=""),"N/A",(Table8[[#This Row],[Actual_Repair_Start_Date]]-Table8[[#This Row],[Garage_In_Date]])*24)</f>
        <v>18.64999999984866</v>
      </c>
      <c r="R59" s="3"/>
    </row>
    <row r="60" spans="1:18" ht="24.95" customHeight="1">
      <c r="A60" s="22" t="s">
        <v>99</v>
      </c>
      <c r="B60" s="23" t="s">
        <v>21</v>
      </c>
      <c r="C60" s="23" t="s">
        <v>15</v>
      </c>
      <c r="D60" s="14">
        <v>46074.625</v>
      </c>
      <c r="E60" s="14">
        <v>46077.9375</v>
      </c>
      <c r="F60" s="14">
        <v>46079.4375</v>
      </c>
      <c r="G60" s="14">
        <v>46083.137499999997</v>
      </c>
      <c r="H60" s="14">
        <v>46079.4375</v>
      </c>
      <c r="I60" s="14">
        <v>46083</v>
      </c>
      <c r="J60" s="25" t="s">
        <v>28</v>
      </c>
      <c r="K60" s="27" t="s">
        <v>38</v>
      </c>
      <c r="L60" s="24">
        <f>(Table8[[#This Row],[Garage_Booked_DateTime]] - Table8[[#This Row],[Defect_Reported_DateTime]])*24</f>
        <v>79.5</v>
      </c>
      <c r="M60" s="24" t="str">
        <f>IF(Table8[[#This Row],[Vehicle_Type]]&lt;&gt;"Specialised", "Not Applicable", IF(Table8[[#This Row],[Hours_To_Book]]&gt;48, "Yes", "No"))</f>
        <v>Not Applicable</v>
      </c>
      <c r="N60" s="26">
        <f>(Table8[[#This Row],[Garage_Out_Date]]-Table8[[#This Row],[Garage_In_Date]])</f>
        <v>3.6999999999970896</v>
      </c>
      <c r="O60" s="26" t="str">
        <f>IF(Table8[[#This Row],[Total_VOR_Days]] &gt;3.5, "Yes", "No")</f>
        <v>Yes</v>
      </c>
      <c r="P60" s="26" t="str">
        <f>IF(Table8[[#This Row],[Vehicle_Type]]&lt;&gt;"Specialised","Not Applicable", IF(Table8[[#This Row],[Hours_To_Book]]&gt;48, "Not Assessed", IF(Table8[[#This Row],[Total_VOR_Days]]&gt;3.5, "Ineffective", "Effective")))</f>
        <v>Not Applicable</v>
      </c>
      <c r="Q60" s="44">
        <f>IF(OR(Table8[[#This Row],[Garage_In_Date]]="",Table8[[#This Row],[Actual_Repair_Start_Date]]=""),"N/A",(Table8[[#This Row],[Actual_Repair_Start_Date]]-Table8[[#This Row],[Garage_In_Date]])*24)</f>
        <v>0</v>
      </c>
      <c r="R60" s="3"/>
    </row>
    <row r="61" spans="1:18" ht="24.95" customHeight="1">
      <c r="A61" s="28" t="s">
        <v>100</v>
      </c>
      <c r="B61" s="29" t="s">
        <v>21</v>
      </c>
      <c r="C61" s="29" t="s">
        <v>42</v>
      </c>
      <c r="D61" s="17">
        <v>46120.59375</v>
      </c>
      <c r="E61" s="17">
        <v>46122.664583333331</v>
      </c>
      <c r="F61" s="17">
        <v>46124.164583333331</v>
      </c>
      <c r="G61" s="17">
        <v>46125.164583333331</v>
      </c>
      <c r="H61" s="17">
        <v>46124.164583333331</v>
      </c>
      <c r="I61" s="17">
        <v>46126</v>
      </c>
      <c r="J61" s="31" t="s">
        <v>19</v>
      </c>
      <c r="K61" s="33" t="s">
        <v>31</v>
      </c>
      <c r="L61" s="30">
        <f>(Table8[[#This Row],[Garage_Booked_DateTime]] - Table8[[#This Row],[Defect_Reported_DateTime]])*24</f>
        <v>49.699999999953434</v>
      </c>
      <c r="M61" s="30" t="str">
        <f>IF(Table8[[#This Row],[Vehicle_Type]]&lt;&gt;"Specialised", "Not Applicable", IF(Table8[[#This Row],[Hours_To_Book]]&gt;48, "Yes", "No"))</f>
        <v>Not Applicable</v>
      </c>
      <c r="N61" s="32">
        <f>(Table8[[#This Row],[Garage_Out_Date]]-Table8[[#This Row],[Garage_In_Date]])</f>
        <v>1</v>
      </c>
      <c r="O61" s="32" t="str">
        <f>IF(Table8[[#This Row],[Total_VOR_Days]] &gt;3.5, "Yes", "No")</f>
        <v>No</v>
      </c>
      <c r="P61" s="32" t="str">
        <f>IF(Table8[[#This Row],[Vehicle_Type]]&lt;&gt;"Specialised","Not Applicable", IF(Table8[[#This Row],[Hours_To_Book]]&gt;48, "Not Assessed", IF(Table8[[#This Row],[Total_VOR_Days]]&gt;3.5, "Ineffective", "Effective")))</f>
        <v>Not Applicable</v>
      </c>
      <c r="Q61" s="44">
        <f>IF(OR(Table8[[#This Row],[Garage_In_Date]]="",Table8[[#This Row],[Actual_Repair_Start_Date]]=""),"N/A",(Table8[[#This Row],[Actual_Repair_Start_Date]]-Table8[[#This Row],[Garage_In_Date]])*24)</f>
        <v>0</v>
      </c>
      <c r="R61" s="3"/>
    </row>
    <row r="62" spans="1:18" ht="24.95" customHeight="1">
      <c r="A62" s="22" t="s">
        <v>101</v>
      </c>
      <c r="B62" s="23" t="s">
        <v>21</v>
      </c>
      <c r="C62" s="23" t="s">
        <v>42</v>
      </c>
      <c r="D62" s="14">
        <v>46117.385416666657</v>
      </c>
      <c r="E62" s="14">
        <v>46121.04791666667</v>
      </c>
      <c r="F62" s="14">
        <v>46123.04791666667</v>
      </c>
      <c r="G62" s="14">
        <v>46127.947916666657</v>
      </c>
      <c r="H62" s="14">
        <v>46123.416666666657</v>
      </c>
      <c r="I62" s="14">
        <v>46127</v>
      </c>
      <c r="J62" s="25" t="s">
        <v>28</v>
      </c>
      <c r="K62" s="27" t="s">
        <v>44</v>
      </c>
      <c r="L62" s="24">
        <f>(Table8[[#This Row],[Garage_Booked_DateTime]] - Table8[[#This Row],[Defect_Reported_DateTime]])*24</f>
        <v>87.900000000314321</v>
      </c>
      <c r="M62" s="24" t="str">
        <f>IF(Table8[[#This Row],[Vehicle_Type]]&lt;&gt;"Specialised", "Not Applicable", IF(Table8[[#This Row],[Hours_To_Book]]&gt;48, "Yes", "No"))</f>
        <v>Not Applicable</v>
      </c>
      <c r="N62" s="26">
        <f>(Table8[[#This Row],[Garage_Out_Date]]-Table8[[#This Row],[Garage_In_Date]])</f>
        <v>4.8999999999869033</v>
      </c>
      <c r="O62" s="26" t="str">
        <f>IF(Table8[[#This Row],[Total_VOR_Days]] &gt;3.5, "Yes", "No")</f>
        <v>Yes</v>
      </c>
      <c r="P62" s="26" t="str">
        <f>IF(Table8[[#This Row],[Vehicle_Type]]&lt;&gt;"Specialised","Not Applicable", IF(Table8[[#This Row],[Hours_To_Book]]&gt;48, "Not Assessed", IF(Table8[[#This Row],[Total_VOR_Days]]&gt;3.5, "Ineffective", "Effective")))</f>
        <v>Not Applicable</v>
      </c>
      <c r="Q62" s="44">
        <f>IF(OR(Table8[[#This Row],[Garage_In_Date]]="",Table8[[#This Row],[Actual_Repair_Start_Date]]=""),"N/A",(Table8[[#This Row],[Actual_Repair_Start_Date]]-Table8[[#This Row],[Garage_In_Date]])*24)</f>
        <v>8.8499999996856786</v>
      </c>
      <c r="R62" s="3"/>
    </row>
    <row r="63" spans="1:18" ht="24.95" customHeight="1">
      <c r="A63" s="28" t="s">
        <v>102</v>
      </c>
      <c r="B63" s="29" t="s">
        <v>21</v>
      </c>
      <c r="C63" s="29" t="s">
        <v>22</v>
      </c>
      <c r="D63" s="17">
        <v>46099.645833333343</v>
      </c>
      <c r="E63" s="17">
        <v>46103.245833333327</v>
      </c>
      <c r="F63" s="17">
        <v>46103.245833333327</v>
      </c>
      <c r="G63" s="17">
        <v>46107.845833333333</v>
      </c>
      <c r="H63" s="17">
        <v>46103.245833333327</v>
      </c>
      <c r="I63" s="17">
        <v>46106</v>
      </c>
      <c r="J63" s="31" t="s">
        <v>159</v>
      </c>
      <c r="K63" s="33" t="s">
        <v>86</v>
      </c>
      <c r="L63" s="30">
        <f>(Table8[[#This Row],[Garage_Booked_DateTime]] - Table8[[#This Row],[Defect_Reported_DateTime]])*24</f>
        <v>86.399999999615829</v>
      </c>
      <c r="M63" s="30" t="str">
        <f>IF(Table8[[#This Row],[Vehicle_Type]]&lt;&gt;"Specialised", "Not Applicable", IF(Table8[[#This Row],[Hours_To_Book]]&gt;48, "Yes", "No"))</f>
        <v>Not Applicable</v>
      </c>
      <c r="N63" s="32">
        <f>(Table8[[#This Row],[Garage_Out_Date]]-Table8[[#This Row],[Garage_In_Date]])</f>
        <v>4.6000000000058208</v>
      </c>
      <c r="O63" s="32" t="str">
        <f>IF(Table8[[#This Row],[Total_VOR_Days]] &gt;3.5, "Yes", "No")</f>
        <v>Yes</v>
      </c>
      <c r="P63" s="32" t="str">
        <f>IF(Table8[[#This Row],[Vehicle_Type]]&lt;&gt;"Specialised","Not Applicable", IF(Table8[[#This Row],[Hours_To_Book]]&gt;48, "Not Assessed", IF(Table8[[#This Row],[Total_VOR_Days]]&gt;3.5, "Ineffective", "Effective")))</f>
        <v>Not Applicable</v>
      </c>
      <c r="Q63" s="44">
        <f>IF(OR(Table8[[#This Row],[Garage_In_Date]]="",Table8[[#This Row],[Actual_Repair_Start_Date]]=""),"N/A",(Table8[[#This Row],[Actual_Repair_Start_Date]]-Table8[[#This Row],[Garage_In_Date]])*24)</f>
        <v>0</v>
      </c>
      <c r="R63" s="3"/>
    </row>
    <row r="64" spans="1:18" ht="24.95" customHeight="1">
      <c r="A64" s="22" t="s">
        <v>103</v>
      </c>
      <c r="B64" s="23" t="s">
        <v>21</v>
      </c>
      <c r="C64" s="23" t="s">
        <v>22</v>
      </c>
      <c r="D64" s="14">
        <v>46125.489583333343</v>
      </c>
      <c r="E64" s="14">
        <v>46129.206250000003</v>
      </c>
      <c r="F64" s="14">
        <v>46129.206250000003</v>
      </c>
      <c r="G64" s="14">
        <v>46130.606249999997</v>
      </c>
      <c r="H64" s="14">
        <v>46129.206250000003</v>
      </c>
      <c r="I64" s="14">
        <v>46129</v>
      </c>
      <c r="J64" s="25" t="s">
        <v>19</v>
      </c>
      <c r="K64" s="27" t="s">
        <v>18</v>
      </c>
      <c r="L64" s="24">
        <f>(Table8[[#This Row],[Garage_Booked_DateTime]] - Table8[[#This Row],[Defect_Reported_DateTime]])*24</f>
        <v>89.199999999837019</v>
      </c>
      <c r="M64" s="24" t="str">
        <f>IF(Table8[[#This Row],[Vehicle_Type]]&lt;&gt;"Specialised", "Not Applicable", IF(Table8[[#This Row],[Hours_To_Book]]&gt;48, "Yes", "No"))</f>
        <v>Not Applicable</v>
      </c>
      <c r="N64" s="26">
        <f>(Table8[[#This Row],[Garage_Out_Date]]-Table8[[#This Row],[Garage_In_Date]])</f>
        <v>1.3999999999941792</v>
      </c>
      <c r="O64" s="26" t="str">
        <f>IF(Table8[[#This Row],[Total_VOR_Days]] &gt;3.5, "Yes", "No")</f>
        <v>No</v>
      </c>
      <c r="P64" s="26" t="str">
        <f>IF(Table8[[#This Row],[Vehicle_Type]]&lt;&gt;"Specialised","Not Applicable", IF(Table8[[#This Row],[Hours_To_Book]]&gt;48, "Not Assessed", IF(Table8[[#This Row],[Total_VOR_Days]]&gt;3.5, "Ineffective", "Effective")))</f>
        <v>Not Applicable</v>
      </c>
      <c r="Q64" s="44">
        <f>IF(OR(Table8[[#This Row],[Garage_In_Date]]="",Table8[[#This Row],[Actual_Repair_Start_Date]]=""),"N/A",(Table8[[#This Row],[Actual_Repair_Start_Date]]-Table8[[#This Row],[Garage_In_Date]])*24)</f>
        <v>0</v>
      </c>
      <c r="R64" s="3"/>
    </row>
    <row r="65" spans="1:18" ht="24.95" customHeight="1">
      <c r="A65" s="28" t="s">
        <v>104</v>
      </c>
      <c r="B65" s="29" t="s">
        <v>21</v>
      </c>
      <c r="C65" s="29" t="s">
        <v>42</v>
      </c>
      <c r="D65" s="17">
        <v>46118.729166666657</v>
      </c>
      <c r="E65" s="17">
        <v>46120.654166666667</v>
      </c>
      <c r="F65" s="17">
        <v>46121.654166666667</v>
      </c>
      <c r="G65" s="17">
        <v>46128.054166666669</v>
      </c>
      <c r="H65" s="17">
        <v>46122.479166666657</v>
      </c>
      <c r="I65" s="17">
        <v>46128</v>
      </c>
      <c r="J65" s="31" t="s">
        <v>33</v>
      </c>
      <c r="K65" s="33" t="s">
        <v>38</v>
      </c>
      <c r="L65" s="30">
        <f>(Table8[[#This Row],[Garage_Booked_DateTime]] - Table8[[#This Row],[Defect_Reported_DateTime]])*24</f>
        <v>46.200000000244472</v>
      </c>
      <c r="M65" s="30" t="str">
        <f>IF(Table8[[#This Row],[Vehicle_Type]]&lt;&gt;"Specialised", "Not Applicable", IF(Table8[[#This Row],[Hours_To_Book]]&gt;48, "Yes", "No"))</f>
        <v>Not Applicable</v>
      </c>
      <c r="N65" s="32">
        <f>(Table8[[#This Row],[Garage_Out_Date]]-Table8[[#This Row],[Garage_In_Date]])</f>
        <v>6.4000000000014552</v>
      </c>
      <c r="O65" s="32" t="str">
        <f>IF(Table8[[#This Row],[Total_VOR_Days]] &gt;3.5, "Yes", "No")</f>
        <v>Yes</v>
      </c>
      <c r="P65" s="32" t="str">
        <f>IF(Table8[[#This Row],[Vehicle_Type]]&lt;&gt;"Specialised","Not Applicable", IF(Table8[[#This Row],[Hours_To_Book]]&gt;48, "Not Assessed", IF(Table8[[#This Row],[Total_VOR_Days]]&gt;3.5, "Ineffective", "Effective")))</f>
        <v>Not Applicable</v>
      </c>
      <c r="Q65" s="44">
        <f>IF(OR(Table8[[#This Row],[Garage_In_Date]]="",Table8[[#This Row],[Actual_Repair_Start_Date]]=""),"N/A",(Table8[[#This Row],[Actual_Repair_Start_Date]]-Table8[[#This Row],[Garage_In_Date]])*24)</f>
        <v>19.799999999755528</v>
      </c>
      <c r="R65" s="3"/>
    </row>
    <row r="66" spans="1:18" ht="24.95" customHeight="1">
      <c r="A66" s="22" t="s">
        <v>105</v>
      </c>
      <c r="B66" s="23" t="s">
        <v>14</v>
      </c>
      <c r="C66" s="23" t="s">
        <v>15</v>
      </c>
      <c r="D66" s="14">
        <v>46078.5625</v>
      </c>
      <c r="E66" s="14">
        <v>46080.15</v>
      </c>
      <c r="F66" s="14">
        <v>46080.15</v>
      </c>
      <c r="G66" s="14">
        <v>46088.65</v>
      </c>
      <c r="H66" s="14">
        <v>46080.395833333343</v>
      </c>
      <c r="I66" s="14">
        <v>46087</v>
      </c>
      <c r="J66" s="25" t="s">
        <v>159</v>
      </c>
      <c r="K66" s="27" t="s">
        <v>18</v>
      </c>
      <c r="L66" s="24">
        <f>(Table8[[#This Row],[Garage_Booked_DateTime]] - Table8[[#This Row],[Defect_Reported_DateTime]])*24</f>
        <v>38.100000000034925</v>
      </c>
      <c r="M66" s="24" t="str">
        <f>IF(Table8[[#This Row],[Vehicle_Type]]&lt;&gt;"Specialised", "Not Applicable", IF(Table8[[#This Row],[Hours_To_Book]]&gt;48, "Yes", "No"))</f>
        <v>No</v>
      </c>
      <c r="N66" s="26">
        <f>(Table8[[#This Row],[Garage_Out_Date]]-Table8[[#This Row],[Garage_In_Date]])</f>
        <v>8.5</v>
      </c>
      <c r="O66" s="26" t="str">
        <f>IF(Table8[[#This Row],[Total_VOR_Days]] &gt;3.5, "Yes", "No")</f>
        <v>Yes</v>
      </c>
      <c r="P66" s="26" t="str">
        <f>IF(Table8[[#This Row],[Vehicle_Type]]&lt;&gt;"Specialised","Not Applicable", IF(Table8[[#This Row],[Hours_To_Book]]&gt;48, "Not Assessed", IF(Table8[[#This Row],[Total_VOR_Days]]&gt;3.5, "Ineffective", "Effective")))</f>
        <v>Ineffective</v>
      </c>
      <c r="Q66" s="44">
        <f>IF(OR(Table8[[#This Row],[Garage_In_Date]]="",Table8[[#This Row],[Actual_Repair_Start_Date]]=""),"N/A",(Table8[[#This Row],[Actual_Repair_Start_Date]]-Table8[[#This Row],[Garage_In_Date]])*24)</f>
        <v>5.900000000197906</v>
      </c>
      <c r="R66" s="3"/>
    </row>
    <row r="67" spans="1:18" ht="24.95" customHeight="1">
      <c r="A67" s="28" t="s">
        <v>106</v>
      </c>
      <c r="B67" s="29" t="s">
        <v>21</v>
      </c>
      <c r="C67" s="29" t="s">
        <v>42</v>
      </c>
      <c r="D67" s="17">
        <v>46028.447916666657</v>
      </c>
      <c r="E67" s="17">
        <v>46032.010416666657</v>
      </c>
      <c r="F67" s="17">
        <v>46033.510416666657</v>
      </c>
      <c r="G67" s="17">
        <v>46035.11041666667</v>
      </c>
      <c r="H67" s="17">
        <v>46033.510416666657</v>
      </c>
      <c r="I67" s="17">
        <v>46035</v>
      </c>
      <c r="J67" s="31" t="s">
        <v>19</v>
      </c>
      <c r="K67" s="33" t="s">
        <v>38</v>
      </c>
      <c r="L67" s="30">
        <f>(Table8[[#This Row],[Garage_Booked_DateTime]] - Table8[[#This Row],[Defect_Reported_DateTime]])*24</f>
        <v>85.5</v>
      </c>
      <c r="M67" s="30" t="str">
        <f>IF(Table8[[#This Row],[Vehicle_Type]]&lt;&gt;"Specialised", "Not Applicable", IF(Table8[[#This Row],[Hours_To_Book]]&gt;48, "Yes", "No"))</f>
        <v>Not Applicable</v>
      </c>
      <c r="N67" s="32">
        <f>(Table8[[#This Row],[Garage_Out_Date]]-Table8[[#This Row],[Garage_In_Date]])</f>
        <v>1.6000000000130967</v>
      </c>
      <c r="O67" s="32" t="str">
        <f>IF(Table8[[#This Row],[Total_VOR_Days]] &gt;3.5, "Yes", "No")</f>
        <v>No</v>
      </c>
      <c r="P67" s="32" t="str">
        <f>IF(Table8[[#This Row],[Vehicle_Type]]&lt;&gt;"Specialised","Not Applicable", IF(Table8[[#This Row],[Hours_To_Book]]&gt;48, "Not Assessed", IF(Table8[[#This Row],[Total_VOR_Days]]&gt;3.5, "Ineffective", "Effective")))</f>
        <v>Not Applicable</v>
      </c>
      <c r="Q67" s="44">
        <f>IF(OR(Table8[[#This Row],[Garage_In_Date]]="",Table8[[#This Row],[Actual_Repair_Start_Date]]=""),"N/A",(Table8[[#This Row],[Actual_Repair_Start_Date]]-Table8[[#This Row],[Garage_In_Date]])*24)</f>
        <v>0</v>
      </c>
      <c r="R67" s="3"/>
    </row>
    <row r="68" spans="1:18" ht="24.95" customHeight="1">
      <c r="A68" s="22" t="s">
        <v>107</v>
      </c>
      <c r="B68" s="23" t="s">
        <v>21</v>
      </c>
      <c r="C68" s="23" t="s">
        <v>188</v>
      </c>
      <c r="D68" s="14">
        <v>46067.604166666657</v>
      </c>
      <c r="E68" s="14">
        <v>46068.23333333333</v>
      </c>
      <c r="F68" s="14">
        <v>46068.566666666673</v>
      </c>
      <c r="G68" s="14">
        <v>46070.866666666669</v>
      </c>
      <c r="H68" s="14">
        <v>46068.73333333333</v>
      </c>
      <c r="I68" s="14">
        <v>46070</v>
      </c>
      <c r="J68" s="25" t="s">
        <v>19</v>
      </c>
      <c r="K68" s="27" t="s">
        <v>27</v>
      </c>
      <c r="L68" s="24">
        <f>(Table8[[#This Row],[Garage_Booked_DateTime]] - Table8[[#This Row],[Defect_Reported_DateTime]])*24</f>
        <v>15.10000000015134</v>
      </c>
      <c r="M68" s="24" t="str">
        <f>IF(Table8[[#This Row],[Vehicle_Type]]&lt;&gt;"Specialised", "Not Applicable", IF(Table8[[#This Row],[Hours_To_Book]]&gt;48, "Yes", "No"))</f>
        <v>Not Applicable</v>
      </c>
      <c r="N68" s="26">
        <f>(Table8[[#This Row],[Garage_Out_Date]]-Table8[[#This Row],[Garage_In_Date]])</f>
        <v>2.2999999999956344</v>
      </c>
      <c r="O68" s="26" t="str">
        <f>IF(Table8[[#This Row],[Total_VOR_Days]] &gt;3.5, "Yes", "No")</f>
        <v>No</v>
      </c>
      <c r="P68" s="26" t="str">
        <f>IF(Table8[[#This Row],[Vehicle_Type]]&lt;&gt;"Specialised","Not Applicable", IF(Table8[[#This Row],[Hours_To_Book]]&gt;48, "Not Assessed", IF(Table8[[#This Row],[Total_VOR_Days]]&gt;3.5, "Ineffective", "Effective")))</f>
        <v>Not Applicable</v>
      </c>
      <c r="Q68" s="44">
        <f>IF(OR(Table8[[#This Row],[Garage_In_Date]]="",Table8[[#This Row],[Actual_Repair_Start_Date]]=""),"N/A",(Table8[[#This Row],[Actual_Repair_Start_Date]]-Table8[[#This Row],[Garage_In_Date]])*24)</f>
        <v>3.9999999997671694</v>
      </c>
      <c r="R68" s="3"/>
    </row>
    <row r="69" spans="1:18" ht="24.95" customHeight="1">
      <c r="A69" s="28" t="s">
        <v>109</v>
      </c>
      <c r="B69" s="29" t="s">
        <v>21</v>
      </c>
      <c r="C69" s="29" t="s">
        <v>15</v>
      </c>
      <c r="D69" s="17">
        <v>46081.395833333343</v>
      </c>
      <c r="E69" s="17">
        <v>46082.1</v>
      </c>
      <c r="F69" s="17">
        <v>46082.433333333327</v>
      </c>
      <c r="G69" s="17">
        <v>46084.23333333333</v>
      </c>
      <c r="H69" s="17">
        <v>46082.433333333327</v>
      </c>
      <c r="I69" s="17">
        <v>46083</v>
      </c>
      <c r="J69" s="31" t="s">
        <v>19</v>
      </c>
      <c r="K69" s="33" t="s">
        <v>27</v>
      </c>
      <c r="L69" s="30">
        <f>(Table8[[#This Row],[Garage_Booked_DateTime]] - Table8[[#This Row],[Defect_Reported_DateTime]])*24</f>
        <v>16.899999999732245</v>
      </c>
      <c r="M69" s="30" t="str">
        <f>IF(Table8[[#This Row],[Vehicle_Type]]&lt;&gt;"Specialised", "Not Applicable", IF(Table8[[#This Row],[Hours_To_Book]]&gt;48, "Yes", "No"))</f>
        <v>Not Applicable</v>
      </c>
      <c r="N69" s="32">
        <f>(Table8[[#This Row],[Garage_Out_Date]]-Table8[[#This Row],[Garage_In_Date]])</f>
        <v>1.8000000000029104</v>
      </c>
      <c r="O69" s="32" t="str">
        <f>IF(Table8[[#This Row],[Total_VOR_Days]] &gt;3.5, "Yes", "No")</f>
        <v>No</v>
      </c>
      <c r="P69" s="32" t="str">
        <f>IF(Table8[[#This Row],[Vehicle_Type]]&lt;&gt;"Specialised","Not Applicable", IF(Table8[[#This Row],[Hours_To_Book]]&gt;48, "Not Assessed", IF(Table8[[#This Row],[Total_VOR_Days]]&gt;3.5, "Ineffective", "Effective")))</f>
        <v>Not Applicable</v>
      </c>
      <c r="Q69" s="44">
        <f>IF(OR(Table8[[#This Row],[Garage_In_Date]]="",Table8[[#This Row],[Actual_Repair_Start_Date]]=""),"N/A",(Table8[[#This Row],[Actual_Repair_Start_Date]]-Table8[[#This Row],[Garage_In_Date]])*24)</f>
        <v>0</v>
      </c>
      <c r="R69" s="3"/>
    </row>
    <row r="70" spans="1:18" ht="24.95" customHeight="1">
      <c r="A70" s="22" t="s">
        <v>110</v>
      </c>
      <c r="B70" s="23" t="s">
        <v>21</v>
      </c>
      <c r="C70" s="23" t="s">
        <v>188</v>
      </c>
      <c r="D70" s="14">
        <v>46075.34375</v>
      </c>
      <c r="E70" s="14">
        <v>46079.810416666667</v>
      </c>
      <c r="F70" s="14">
        <v>46081.310416666667</v>
      </c>
      <c r="G70" s="14">
        <v>46083.310416666667</v>
      </c>
      <c r="H70" s="14">
        <v>46081.310416666667</v>
      </c>
      <c r="I70" s="14">
        <v>46082</v>
      </c>
      <c r="J70" s="25" t="s">
        <v>19</v>
      </c>
      <c r="K70" s="27" t="s">
        <v>18</v>
      </c>
      <c r="L70" s="24">
        <f>(Table8[[#This Row],[Garage_Booked_DateTime]] - Table8[[#This Row],[Defect_Reported_DateTime]])*24</f>
        <v>107.20000000001164</v>
      </c>
      <c r="M70" s="24" t="str">
        <f>IF(Table8[[#This Row],[Vehicle_Type]]&lt;&gt;"Specialised", "Not Applicable", IF(Table8[[#This Row],[Hours_To_Book]]&gt;48, "Yes", "No"))</f>
        <v>Not Applicable</v>
      </c>
      <c r="N70" s="26">
        <f>(Table8[[#This Row],[Garage_Out_Date]]-Table8[[#This Row],[Garage_In_Date]])</f>
        <v>2</v>
      </c>
      <c r="O70" s="26" t="str">
        <f>IF(Table8[[#This Row],[Total_VOR_Days]] &gt;3.5, "Yes", "No")</f>
        <v>No</v>
      </c>
      <c r="P70" s="26" t="str">
        <f>IF(Table8[[#This Row],[Vehicle_Type]]&lt;&gt;"Specialised","Not Applicable", IF(Table8[[#This Row],[Hours_To_Book]]&gt;48, "Not Assessed", IF(Table8[[#This Row],[Total_VOR_Days]]&gt;3.5, "Ineffective", "Effective")))</f>
        <v>Not Applicable</v>
      </c>
      <c r="Q70" s="44">
        <f>IF(OR(Table8[[#This Row],[Garage_In_Date]]="",Table8[[#This Row],[Actual_Repair_Start_Date]]=""),"N/A",(Table8[[#This Row],[Actual_Repair_Start_Date]]-Table8[[#This Row],[Garage_In_Date]])*24)</f>
        <v>0</v>
      </c>
      <c r="R70" s="3"/>
    </row>
    <row r="71" spans="1:18" ht="24.95" customHeight="1">
      <c r="A71" s="28" t="s">
        <v>111</v>
      </c>
      <c r="B71" s="29" t="s">
        <v>14</v>
      </c>
      <c r="C71" s="29" t="s">
        <v>42</v>
      </c>
      <c r="D71" s="17">
        <v>46085.375</v>
      </c>
      <c r="E71" s="17">
        <v>46087.037499999999</v>
      </c>
      <c r="F71" s="17">
        <v>46089.037499999999</v>
      </c>
      <c r="G71" s="17">
        <v>46092.137499999997</v>
      </c>
      <c r="H71" s="17">
        <v>46091.479166666657</v>
      </c>
      <c r="I71" s="17">
        <v>46090</v>
      </c>
      <c r="J71" s="31" t="s">
        <v>19</v>
      </c>
      <c r="K71" s="33" t="s">
        <v>38</v>
      </c>
      <c r="L71" s="30">
        <f>(Table8[[#This Row],[Garage_Booked_DateTime]] - Table8[[#This Row],[Defect_Reported_DateTime]])*24</f>
        <v>39.899999999965075</v>
      </c>
      <c r="M71" s="30" t="str">
        <f>IF(Table8[[#This Row],[Vehicle_Type]]&lt;&gt;"Specialised", "Not Applicable", IF(Table8[[#This Row],[Hours_To_Book]]&gt;48, "Yes", "No"))</f>
        <v>No</v>
      </c>
      <c r="N71" s="32">
        <f>(Table8[[#This Row],[Garage_Out_Date]]-Table8[[#This Row],[Garage_In_Date]])</f>
        <v>3.0999999999985448</v>
      </c>
      <c r="O71" s="32" t="str">
        <f>IF(Table8[[#This Row],[Total_VOR_Days]] &gt;3.5, "Yes", "No")</f>
        <v>No</v>
      </c>
      <c r="P71" s="32" t="str">
        <f>IF(Table8[[#This Row],[Vehicle_Type]]&lt;&gt;"Specialised","Not Applicable", IF(Table8[[#This Row],[Hours_To_Book]]&gt;48, "Not Assessed", IF(Table8[[#This Row],[Total_VOR_Days]]&gt;3.5, "Ineffective", "Effective")))</f>
        <v>Effective</v>
      </c>
      <c r="Q71" s="44">
        <f>IF(OR(Table8[[#This Row],[Garage_In_Date]]="",Table8[[#This Row],[Actual_Repair_Start_Date]]=""),"N/A",(Table8[[#This Row],[Actual_Repair_Start_Date]]-Table8[[#This Row],[Garage_In_Date]])*24)</f>
        <v>58.599999999802094</v>
      </c>
      <c r="R71" s="3"/>
    </row>
    <row r="72" spans="1:18" ht="24.95" customHeight="1">
      <c r="A72" s="22" t="s">
        <v>112</v>
      </c>
      <c r="B72" s="23" t="s">
        <v>21</v>
      </c>
      <c r="C72" s="23" t="s">
        <v>188</v>
      </c>
      <c r="D72" s="14">
        <v>46038.447916666657</v>
      </c>
      <c r="E72" s="14">
        <v>46040.310416666667</v>
      </c>
      <c r="F72" s="14">
        <v>46042.310416666667</v>
      </c>
      <c r="G72" s="14">
        <v>46045.710416666669</v>
      </c>
      <c r="H72" s="14">
        <v>46045.375</v>
      </c>
      <c r="I72" s="14">
        <v>46045</v>
      </c>
      <c r="J72" s="25" t="s">
        <v>19</v>
      </c>
      <c r="K72" s="27" t="s">
        <v>35</v>
      </c>
      <c r="L72" s="24">
        <f>(Table8[[#This Row],[Garage_Booked_DateTime]] - Table8[[#This Row],[Defect_Reported_DateTime]])*24</f>
        <v>44.700000000244472</v>
      </c>
      <c r="M72" s="24" t="str">
        <f>IF(Table8[[#This Row],[Vehicle_Type]]&lt;&gt;"Specialised", "Not Applicable", IF(Table8[[#This Row],[Hours_To_Book]]&gt;48, "Yes", "No"))</f>
        <v>Not Applicable</v>
      </c>
      <c r="N72" s="26">
        <f>(Table8[[#This Row],[Garage_Out_Date]]-Table8[[#This Row],[Garage_In_Date]])</f>
        <v>3.4000000000014552</v>
      </c>
      <c r="O72" s="26" t="str">
        <f>IF(Table8[[#This Row],[Total_VOR_Days]] &gt;3.5, "Yes", "No")</f>
        <v>No</v>
      </c>
      <c r="P72" s="26" t="str">
        <f>IF(Table8[[#This Row],[Vehicle_Type]]&lt;&gt;"Specialised","Not Applicable", IF(Table8[[#This Row],[Hours_To_Book]]&gt;48, "Not Assessed", IF(Table8[[#This Row],[Total_VOR_Days]]&gt;3.5, "Ineffective", "Effective")))</f>
        <v>Not Applicable</v>
      </c>
      <c r="Q72" s="44">
        <f>IF(OR(Table8[[#This Row],[Garage_In_Date]]="",Table8[[#This Row],[Actual_Repair_Start_Date]]=""),"N/A",(Table8[[#This Row],[Actual_Repair_Start_Date]]-Table8[[#This Row],[Garage_In_Date]])*24)</f>
        <v>73.549999999988358</v>
      </c>
      <c r="R72" s="3"/>
    </row>
    <row r="73" spans="1:18" ht="24.95" customHeight="1">
      <c r="A73" s="28" t="s">
        <v>113</v>
      </c>
      <c r="B73" s="29" t="s">
        <v>14</v>
      </c>
      <c r="C73" s="29" t="s">
        <v>15</v>
      </c>
      <c r="D73" s="17">
        <v>46099.677083333343</v>
      </c>
      <c r="E73" s="17">
        <v>46102.043749999997</v>
      </c>
      <c r="F73" s="17">
        <v>46102.377083333333</v>
      </c>
      <c r="G73" s="17">
        <v>46109.57708333333</v>
      </c>
      <c r="H73" s="17">
        <v>46103.427083333343</v>
      </c>
      <c r="I73" s="17">
        <v>46107</v>
      </c>
      <c r="J73" s="31" t="s">
        <v>163</v>
      </c>
      <c r="K73" s="33" t="s">
        <v>18</v>
      </c>
      <c r="L73" s="30">
        <f>(Table8[[#This Row],[Garage_Booked_DateTime]] - Table8[[#This Row],[Defect_Reported_DateTime]])*24</f>
        <v>56.79999999969732</v>
      </c>
      <c r="M73" s="30" t="str">
        <f>IF(Table8[[#This Row],[Vehicle_Type]]&lt;&gt;"Specialised", "Not Applicable", IF(Table8[[#This Row],[Hours_To_Book]]&gt;48, "Yes", "No"))</f>
        <v>Yes</v>
      </c>
      <c r="N73" s="32">
        <f>(Table8[[#This Row],[Garage_Out_Date]]-Table8[[#This Row],[Garage_In_Date]])</f>
        <v>7.1999999999970896</v>
      </c>
      <c r="O73" s="32" t="str">
        <f>IF(Table8[[#This Row],[Total_VOR_Days]] &gt;3.5, "Yes", "No")</f>
        <v>Yes</v>
      </c>
      <c r="P73" s="32" t="str">
        <f>IF(Table8[[#This Row],[Vehicle_Type]]&lt;&gt;"Specialised","Not Applicable", IF(Table8[[#This Row],[Hours_To_Book]]&gt;48, "Not Assessed", IF(Table8[[#This Row],[Total_VOR_Days]]&gt;3.5, "Ineffective", "Effective")))</f>
        <v>Not Assessed</v>
      </c>
      <c r="Q73" s="44">
        <f>IF(OR(Table8[[#This Row],[Garage_In_Date]]="",Table8[[#This Row],[Actual_Repair_Start_Date]]=""),"N/A",(Table8[[#This Row],[Actual_Repair_Start_Date]]-Table8[[#This Row],[Garage_In_Date]])*24)</f>
        <v>25.200000000244472</v>
      </c>
      <c r="R73" s="3"/>
    </row>
    <row r="74" spans="1:18" ht="24.95" customHeight="1">
      <c r="A74" s="22" t="s">
        <v>114</v>
      </c>
      <c r="B74" s="23" t="s">
        <v>21</v>
      </c>
      <c r="C74" s="23" t="s">
        <v>15</v>
      </c>
      <c r="D74" s="14">
        <v>46059.53125</v>
      </c>
      <c r="E74" s="14">
        <v>46062.48541666667</v>
      </c>
      <c r="F74" s="14">
        <v>46063.48541666667</v>
      </c>
      <c r="G74" s="14">
        <v>46066.085416666669</v>
      </c>
      <c r="H74" s="14">
        <v>46063.48541666667</v>
      </c>
      <c r="I74" s="14">
        <v>46064</v>
      </c>
      <c r="J74" s="25" t="s">
        <v>19</v>
      </c>
      <c r="K74" s="27" t="s">
        <v>89</v>
      </c>
      <c r="L74" s="24">
        <f>(Table8[[#This Row],[Garage_Booked_DateTime]] - Table8[[#This Row],[Defect_Reported_DateTime]])*24</f>
        <v>70.900000000081491</v>
      </c>
      <c r="M74" s="24" t="str">
        <f>IF(Table8[[#This Row],[Vehicle_Type]]&lt;&gt;"Specialised", "Not Applicable", IF(Table8[[#This Row],[Hours_To_Book]]&gt;48, "Yes", "No"))</f>
        <v>Not Applicable</v>
      </c>
      <c r="N74" s="26">
        <f>(Table8[[#This Row],[Garage_Out_Date]]-Table8[[#This Row],[Garage_In_Date]])</f>
        <v>2.5999999999985448</v>
      </c>
      <c r="O74" s="26" t="str">
        <f>IF(Table8[[#This Row],[Total_VOR_Days]] &gt;3.5, "Yes", "No")</f>
        <v>No</v>
      </c>
      <c r="P74" s="26" t="str">
        <f>IF(Table8[[#This Row],[Vehicle_Type]]&lt;&gt;"Specialised","Not Applicable", IF(Table8[[#This Row],[Hours_To_Book]]&gt;48, "Not Assessed", IF(Table8[[#This Row],[Total_VOR_Days]]&gt;3.5, "Ineffective", "Effective")))</f>
        <v>Not Applicable</v>
      </c>
      <c r="Q74" s="44">
        <f>IF(OR(Table8[[#This Row],[Garage_In_Date]]="",Table8[[#This Row],[Actual_Repair_Start_Date]]=""),"N/A",(Table8[[#This Row],[Actual_Repair_Start_Date]]-Table8[[#This Row],[Garage_In_Date]])*24)</f>
        <v>0</v>
      </c>
      <c r="R74" s="3"/>
    </row>
    <row r="75" spans="1:18" ht="24.95" customHeight="1">
      <c r="A75" s="28" t="s">
        <v>115</v>
      </c>
      <c r="B75" s="29" t="s">
        <v>21</v>
      </c>
      <c r="C75" s="29" t="s">
        <v>30</v>
      </c>
      <c r="D75" s="17">
        <v>46112.489583333343</v>
      </c>
      <c r="E75" s="17">
        <v>46114.943749999999</v>
      </c>
      <c r="F75" s="17">
        <v>46114.943749999999</v>
      </c>
      <c r="G75" s="17">
        <v>46122.543749999997</v>
      </c>
      <c r="H75" s="17">
        <v>46116.458333333343</v>
      </c>
      <c r="I75" s="17">
        <v>46122</v>
      </c>
      <c r="J75" s="31" t="s">
        <v>159</v>
      </c>
      <c r="K75" s="33" t="s">
        <v>35</v>
      </c>
      <c r="L75" s="30">
        <f>(Table8[[#This Row],[Garage_Booked_DateTime]] - Table8[[#This Row],[Defect_Reported_DateTime]])*24</f>
        <v>58.899999999732245</v>
      </c>
      <c r="M75" s="30" t="str">
        <f>IF(Table8[[#This Row],[Vehicle_Type]]&lt;&gt;"Specialised", "Not Applicable", IF(Table8[[#This Row],[Hours_To_Book]]&gt;48, "Yes", "No"))</f>
        <v>Not Applicable</v>
      </c>
      <c r="N75" s="32">
        <f>(Table8[[#This Row],[Garage_Out_Date]]-Table8[[#This Row],[Garage_In_Date]])</f>
        <v>7.5999999999985448</v>
      </c>
      <c r="O75" s="32" t="str">
        <f>IF(Table8[[#This Row],[Total_VOR_Days]] &gt;3.5, "Yes", "No")</f>
        <v>Yes</v>
      </c>
      <c r="P75" s="32" t="str">
        <f>IF(Table8[[#This Row],[Vehicle_Type]]&lt;&gt;"Specialised","Not Applicable", IF(Table8[[#This Row],[Hours_To_Book]]&gt;48, "Not Assessed", IF(Table8[[#This Row],[Total_VOR_Days]]&gt;3.5, "Ineffective", "Effective")))</f>
        <v>Not Applicable</v>
      </c>
      <c r="Q75" s="44">
        <f>IF(OR(Table8[[#This Row],[Garage_In_Date]]="",Table8[[#This Row],[Actual_Repair_Start_Date]]=""),"N/A",(Table8[[#This Row],[Actual_Repair_Start_Date]]-Table8[[#This Row],[Garage_In_Date]])*24)</f>
        <v>36.350000000267755</v>
      </c>
      <c r="R75" s="3"/>
    </row>
    <row r="76" spans="1:18" ht="24.95" customHeight="1">
      <c r="A76" s="22" t="s">
        <v>116</v>
      </c>
      <c r="B76" s="23" t="s">
        <v>21</v>
      </c>
      <c r="C76" s="23" t="s">
        <v>188</v>
      </c>
      <c r="D76" s="14">
        <v>46027.4375</v>
      </c>
      <c r="E76" s="14">
        <v>46031.004166666673</v>
      </c>
      <c r="F76" s="14">
        <v>46032.004166666673</v>
      </c>
      <c r="G76" s="14">
        <v>46033.20416666667</v>
      </c>
      <c r="H76" s="14">
        <v>46032.004166666673</v>
      </c>
      <c r="I76" s="14">
        <v>46033</v>
      </c>
      <c r="J76" s="25" t="s">
        <v>19</v>
      </c>
      <c r="K76" s="27" t="s">
        <v>35</v>
      </c>
      <c r="L76" s="24">
        <f>(Table8[[#This Row],[Garage_Booked_DateTime]] - Table8[[#This Row],[Defect_Reported_DateTime]])*24</f>
        <v>85.60000000015134</v>
      </c>
      <c r="M76" s="24" t="str">
        <f>IF(Table8[[#This Row],[Vehicle_Type]]&lt;&gt;"Specialised", "Not Applicable", IF(Table8[[#This Row],[Hours_To_Book]]&gt;48, "Yes", "No"))</f>
        <v>Not Applicable</v>
      </c>
      <c r="N76" s="26">
        <f>(Table8[[#This Row],[Garage_Out_Date]]-Table8[[#This Row],[Garage_In_Date]])</f>
        <v>1.1999999999970896</v>
      </c>
      <c r="O76" s="26" t="str">
        <f>IF(Table8[[#This Row],[Total_VOR_Days]] &gt;3.5, "Yes", "No")</f>
        <v>No</v>
      </c>
      <c r="P76" s="26" t="str">
        <f>IF(Table8[[#This Row],[Vehicle_Type]]&lt;&gt;"Specialised","Not Applicable", IF(Table8[[#This Row],[Hours_To_Book]]&gt;48, "Not Assessed", IF(Table8[[#This Row],[Total_VOR_Days]]&gt;3.5, "Ineffective", "Effective")))</f>
        <v>Not Applicable</v>
      </c>
      <c r="Q76" s="44">
        <f>IF(OR(Table8[[#This Row],[Garage_In_Date]]="",Table8[[#This Row],[Actual_Repair_Start_Date]]=""),"N/A",(Table8[[#This Row],[Actual_Repair_Start_Date]]-Table8[[#This Row],[Garage_In_Date]])*24)</f>
        <v>0</v>
      </c>
      <c r="R76" s="3"/>
    </row>
    <row r="77" spans="1:18" ht="24.95" customHeight="1">
      <c r="A77" s="28" t="s">
        <v>117</v>
      </c>
      <c r="B77" s="29" t="s">
        <v>14</v>
      </c>
      <c r="C77" s="29" t="s">
        <v>26</v>
      </c>
      <c r="D77" s="17">
        <v>46056.572916666657</v>
      </c>
      <c r="E77" s="17">
        <v>46057.372916666667</v>
      </c>
      <c r="F77" s="17">
        <v>46059.372916666667</v>
      </c>
      <c r="G77" s="17">
        <v>46060.372916666667</v>
      </c>
      <c r="H77" s="17">
        <v>46059.46875</v>
      </c>
      <c r="I77" s="17">
        <v>46060</v>
      </c>
      <c r="J77" s="31" t="s">
        <v>19</v>
      </c>
      <c r="K77" s="33" t="s">
        <v>44</v>
      </c>
      <c r="L77" s="30">
        <f>(Table8[[#This Row],[Garage_Booked_DateTime]] - Table8[[#This Row],[Defect_Reported_DateTime]])*24</f>
        <v>19.200000000244472</v>
      </c>
      <c r="M77" s="30" t="str">
        <f>IF(Table8[[#This Row],[Vehicle_Type]]&lt;&gt;"Specialised", "Not Applicable", IF(Table8[[#This Row],[Hours_To_Book]]&gt;48, "Yes", "No"))</f>
        <v>No</v>
      </c>
      <c r="N77" s="32">
        <f>(Table8[[#This Row],[Garage_Out_Date]]-Table8[[#This Row],[Garage_In_Date]])</f>
        <v>1</v>
      </c>
      <c r="O77" s="32" t="str">
        <f>IF(Table8[[#This Row],[Total_VOR_Days]] &gt;3.5, "Yes", "No")</f>
        <v>No</v>
      </c>
      <c r="P77" s="32" t="str">
        <f>IF(Table8[[#This Row],[Vehicle_Type]]&lt;&gt;"Specialised","Not Applicable", IF(Table8[[#This Row],[Hours_To_Book]]&gt;48, "Not Assessed", IF(Table8[[#This Row],[Total_VOR_Days]]&gt;3.5, "Ineffective", "Effective")))</f>
        <v>Effective</v>
      </c>
      <c r="Q77" s="44">
        <f>IF(OR(Table8[[#This Row],[Garage_In_Date]]="",Table8[[#This Row],[Actual_Repair_Start_Date]]=""),"N/A",(Table8[[#This Row],[Actual_Repair_Start_Date]]-Table8[[#This Row],[Garage_In_Date]])*24)</f>
        <v>2.2999999999883585</v>
      </c>
      <c r="R77" s="3"/>
    </row>
    <row r="78" spans="1:18" ht="24.95" customHeight="1">
      <c r="A78" s="22" t="s">
        <v>118</v>
      </c>
      <c r="B78" s="23" t="s">
        <v>21</v>
      </c>
      <c r="C78" s="23" t="s">
        <v>42</v>
      </c>
      <c r="D78" s="14">
        <v>46027.708333333343</v>
      </c>
      <c r="E78" s="14">
        <v>46030.133333333331</v>
      </c>
      <c r="F78" s="14">
        <v>46030.466666666667</v>
      </c>
      <c r="G78" s="14">
        <v>46037.666666666657</v>
      </c>
      <c r="H78" s="14">
        <v>46033.427083333343</v>
      </c>
      <c r="I78" s="14">
        <v>46035</v>
      </c>
      <c r="J78" s="25" t="s">
        <v>28</v>
      </c>
      <c r="K78" s="27" t="s">
        <v>38</v>
      </c>
      <c r="L78" s="24">
        <f>(Table8[[#This Row],[Garage_Booked_DateTime]] - Table8[[#This Row],[Defect_Reported_DateTime]])*24</f>
        <v>58.199999999720603</v>
      </c>
      <c r="M78" s="24" t="str">
        <f>IF(Table8[[#This Row],[Vehicle_Type]]&lt;&gt;"Specialised", "Not Applicable", IF(Table8[[#This Row],[Hours_To_Book]]&gt;48, "Yes", "No"))</f>
        <v>Not Applicable</v>
      </c>
      <c r="N78" s="26">
        <f>(Table8[[#This Row],[Garage_Out_Date]]-Table8[[#This Row],[Garage_In_Date]])</f>
        <v>7.1999999999898137</v>
      </c>
      <c r="O78" s="26" t="str">
        <f>IF(Table8[[#This Row],[Total_VOR_Days]] &gt;3.5, "Yes", "No")</f>
        <v>Yes</v>
      </c>
      <c r="P78" s="26" t="str">
        <f>IF(Table8[[#This Row],[Vehicle_Type]]&lt;&gt;"Specialised","Not Applicable", IF(Table8[[#This Row],[Hours_To_Book]]&gt;48, "Not Assessed", IF(Table8[[#This Row],[Total_VOR_Days]]&gt;3.5, "Ineffective", "Effective")))</f>
        <v>Not Applicable</v>
      </c>
      <c r="Q78" s="44">
        <f>IF(OR(Table8[[#This Row],[Garage_In_Date]]="",Table8[[#This Row],[Actual_Repair_Start_Date]]=""),"N/A",(Table8[[#This Row],[Actual_Repair_Start_Date]]-Table8[[#This Row],[Garage_In_Date]])*24)</f>
        <v>71.050000000221189</v>
      </c>
      <c r="R78" s="3"/>
    </row>
    <row r="79" spans="1:18" ht="24.95" customHeight="1">
      <c r="A79" s="28" t="s">
        <v>119</v>
      </c>
      <c r="B79" s="29" t="s">
        <v>14</v>
      </c>
      <c r="C79" s="29" t="s">
        <v>15</v>
      </c>
      <c r="D79" s="17">
        <v>46061.333333333343</v>
      </c>
      <c r="E79" s="17">
        <v>46062.487500000003</v>
      </c>
      <c r="F79" s="17">
        <v>46062.820833333331</v>
      </c>
      <c r="G79" s="17">
        <v>46067.620833333327</v>
      </c>
      <c r="H79" s="17">
        <v>46063.416666666657</v>
      </c>
      <c r="I79" s="17">
        <v>46066</v>
      </c>
      <c r="J79" s="31" t="s">
        <v>163</v>
      </c>
      <c r="K79" s="33" t="s">
        <v>35</v>
      </c>
      <c r="L79" s="30">
        <f>(Table8[[#This Row],[Garage_Booked_DateTime]] - Table8[[#This Row],[Defect_Reported_DateTime]])*24</f>
        <v>27.699999999837019</v>
      </c>
      <c r="M79" s="30" t="str">
        <f>IF(Table8[[#This Row],[Vehicle_Type]]&lt;&gt;"Specialised", "Not Applicable", IF(Table8[[#This Row],[Hours_To_Book]]&gt;48, "Yes", "No"))</f>
        <v>No</v>
      </c>
      <c r="N79" s="32">
        <f>(Table8[[#This Row],[Garage_Out_Date]]-Table8[[#This Row],[Garage_In_Date]])</f>
        <v>4.7999999999956344</v>
      </c>
      <c r="O79" s="32" t="str">
        <f>IF(Table8[[#This Row],[Total_VOR_Days]] &gt;3.5, "Yes", "No")</f>
        <v>Yes</v>
      </c>
      <c r="P79" s="32" t="str">
        <f>IF(Table8[[#This Row],[Vehicle_Type]]&lt;&gt;"Specialised","Not Applicable", IF(Table8[[#This Row],[Hours_To_Book]]&gt;48, "Not Assessed", IF(Table8[[#This Row],[Total_VOR_Days]]&gt;3.5, "Ineffective", "Effective")))</f>
        <v>Ineffective</v>
      </c>
      <c r="Q79" s="44">
        <f>IF(OR(Table8[[#This Row],[Garage_In_Date]]="",Table8[[#This Row],[Actual_Repair_Start_Date]]=""),"N/A",(Table8[[#This Row],[Actual_Repair_Start_Date]]-Table8[[#This Row],[Garage_In_Date]])*24)</f>
        <v>14.299999999813735</v>
      </c>
      <c r="R79" s="3"/>
    </row>
    <row r="80" spans="1:18" ht="24.95" customHeight="1">
      <c r="A80" s="22" t="s">
        <v>120</v>
      </c>
      <c r="B80" s="23" t="s">
        <v>21</v>
      </c>
      <c r="C80" s="23" t="s">
        <v>30</v>
      </c>
      <c r="D80" s="14">
        <v>46045.40625</v>
      </c>
      <c r="E80" s="14">
        <v>46047.20208333333</v>
      </c>
      <c r="F80" s="14">
        <v>46048.70208333333</v>
      </c>
      <c r="G80" s="14">
        <v>46051.902083333327</v>
      </c>
      <c r="H80" s="14">
        <v>46049.416666666657</v>
      </c>
      <c r="I80" s="14">
        <v>46051</v>
      </c>
      <c r="J80" s="25" t="s">
        <v>19</v>
      </c>
      <c r="K80" s="27" t="s">
        <v>31</v>
      </c>
      <c r="L80" s="24">
        <f>(Table8[[#This Row],[Garage_Booked_DateTime]] - Table8[[#This Row],[Defect_Reported_DateTime]])*24</f>
        <v>43.099999999918509</v>
      </c>
      <c r="M80" s="24" t="str">
        <f>IF(Table8[[#This Row],[Vehicle_Type]]&lt;&gt;"Specialised", "Not Applicable", IF(Table8[[#This Row],[Hours_To_Book]]&gt;48, "Yes", "No"))</f>
        <v>Not Applicable</v>
      </c>
      <c r="N80" s="26">
        <f>(Table8[[#This Row],[Garage_Out_Date]]-Table8[[#This Row],[Garage_In_Date]])</f>
        <v>3.1999999999970896</v>
      </c>
      <c r="O80" s="26" t="str">
        <f>IF(Table8[[#This Row],[Total_VOR_Days]] &gt;3.5, "Yes", "No")</f>
        <v>No</v>
      </c>
      <c r="P80" s="26" t="str">
        <f>IF(Table8[[#This Row],[Vehicle_Type]]&lt;&gt;"Specialised","Not Applicable", IF(Table8[[#This Row],[Hours_To_Book]]&gt;48, "Not Assessed", IF(Table8[[#This Row],[Total_VOR_Days]]&gt;3.5, "Ineffective", "Effective")))</f>
        <v>Not Applicable</v>
      </c>
      <c r="Q80" s="44">
        <f>IF(OR(Table8[[#This Row],[Garage_In_Date]]="",Table8[[#This Row],[Actual_Repair_Start_Date]]=""),"N/A",(Table8[[#This Row],[Actual_Repair_Start_Date]]-Table8[[#This Row],[Garage_In_Date]])*24)</f>
        <v>17.14999999984866</v>
      </c>
      <c r="R80" s="3"/>
    </row>
    <row r="81" spans="1:18" ht="24.95" customHeight="1">
      <c r="A81" s="28" t="s">
        <v>121</v>
      </c>
      <c r="B81" s="29" t="s">
        <v>14</v>
      </c>
      <c r="C81" s="29" t="s">
        <v>42</v>
      </c>
      <c r="D81" s="17">
        <v>46109.677083333343</v>
      </c>
      <c r="E81" s="17">
        <v>46111.647916666669</v>
      </c>
      <c r="F81" s="17">
        <v>46113.147916666669</v>
      </c>
      <c r="G81" s="17">
        <v>46119.54791666667</v>
      </c>
      <c r="H81" s="17">
        <v>46113.314583333333</v>
      </c>
      <c r="I81" s="17">
        <v>46119</v>
      </c>
      <c r="J81" s="31" t="s">
        <v>36</v>
      </c>
      <c r="K81" s="33" t="s">
        <v>18</v>
      </c>
      <c r="L81" s="30">
        <f>(Table8[[#This Row],[Garage_Booked_DateTime]] - Table8[[#This Row],[Defect_Reported_DateTime]])*24</f>
        <v>47.299999999813735</v>
      </c>
      <c r="M81" s="30" t="str">
        <f>IF(Table8[[#This Row],[Vehicle_Type]]&lt;&gt;"Specialised", "Not Applicable", IF(Table8[[#This Row],[Hours_To_Book]]&gt;48, "Yes", "No"))</f>
        <v>No</v>
      </c>
      <c r="N81" s="32">
        <f>(Table8[[#This Row],[Garage_Out_Date]]-Table8[[#This Row],[Garage_In_Date]])</f>
        <v>6.4000000000014552</v>
      </c>
      <c r="O81" s="32" t="str">
        <f>IF(Table8[[#This Row],[Total_VOR_Days]] &gt;3.5, "Yes", "No")</f>
        <v>Yes</v>
      </c>
      <c r="P81" s="32" t="str">
        <f>IF(Table8[[#This Row],[Vehicle_Type]]&lt;&gt;"Specialised","Not Applicable", IF(Table8[[#This Row],[Hours_To_Book]]&gt;48, "Not Assessed", IF(Table8[[#This Row],[Total_VOR_Days]]&gt;3.5, "Ineffective", "Effective")))</f>
        <v>Ineffective</v>
      </c>
      <c r="Q81" s="44">
        <f>IF(OR(Table8[[#This Row],[Garage_In_Date]]="",Table8[[#This Row],[Actual_Repair_Start_Date]]=""),"N/A",(Table8[[#This Row],[Actual_Repair_Start_Date]]-Table8[[#This Row],[Garage_In_Date]])*24)</f>
        <v>3.9999999999417923</v>
      </c>
      <c r="R81" s="3"/>
    </row>
    <row r="82" spans="1:18" ht="24.95" customHeight="1">
      <c r="A82" s="22" t="s">
        <v>122</v>
      </c>
      <c r="B82" s="23" t="s">
        <v>21</v>
      </c>
      <c r="C82" s="23" t="s">
        <v>30</v>
      </c>
      <c r="D82" s="14">
        <v>46072.625</v>
      </c>
      <c r="E82" s="14">
        <v>46075.012499999997</v>
      </c>
      <c r="F82" s="14">
        <v>46076.512499999997</v>
      </c>
      <c r="G82" s="14">
        <v>46083.3125</v>
      </c>
      <c r="H82" s="14">
        <v>46076.512499999997</v>
      </c>
      <c r="I82" s="14">
        <v>46084</v>
      </c>
      <c r="J82" s="25" t="s">
        <v>33</v>
      </c>
      <c r="K82" s="27" t="s">
        <v>23</v>
      </c>
      <c r="L82" s="24">
        <f>(Table8[[#This Row],[Garage_Booked_DateTime]] - Table8[[#This Row],[Defect_Reported_DateTime]])*24</f>
        <v>57.299999999930151</v>
      </c>
      <c r="M82" s="24" t="str">
        <f>IF(Table8[[#This Row],[Vehicle_Type]]&lt;&gt;"Specialised", "Not Applicable", IF(Table8[[#This Row],[Hours_To_Book]]&gt;48, "Yes", "No"))</f>
        <v>Not Applicable</v>
      </c>
      <c r="N82" s="26">
        <f>(Table8[[#This Row],[Garage_Out_Date]]-Table8[[#This Row],[Garage_In_Date]])</f>
        <v>6.8000000000029104</v>
      </c>
      <c r="O82" s="26" t="str">
        <f>IF(Table8[[#This Row],[Total_VOR_Days]] &gt;3.5, "Yes", "No")</f>
        <v>Yes</v>
      </c>
      <c r="P82" s="26" t="str">
        <f>IF(Table8[[#This Row],[Vehicle_Type]]&lt;&gt;"Specialised","Not Applicable", IF(Table8[[#This Row],[Hours_To_Book]]&gt;48, "Not Assessed", IF(Table8[[#This Row],[Total_VOR_Days]]&gt;3.5, "Ineffective", "Effective")))</f>
        <v>Not Applicable</v>
      </c>
      <c r="Q82" s="44">
        <f>IF(OR(Table8[[#This Row],[Garage_In_Date]]="",Table8[[#This Row],[Actual_Repair_Start_Date]]=""),"N/A",(Table8[[#This Row],[Actual_Repair_Start_Date]]-Table8[[#This Row],[Garage_In_Date]])*24)</f>
        <v>0</v>
      </c>
      <c r="R82" s="3"/>
    </row>
    <row r="83" spans="1:18" ht="24.95" customHeight="1">
      <c r="A83" s="28" t="s">
        <v>123</v>
      </c>
      <c r="B83" s="29" t="s">
        <v>14</v>
      </c>
      <c r="C83" s="29" t="s">
        <v>15</v>
      </c>
      <c r="D83" s="17">
        <v>46133.364583333343</v>
      </c>
      <c r="E83" s="17">
        <v>46134.95208333333</v>
      </c>
      <c r="F83" s="17">
        <v>46135.118750000001</v>
      </c>
      <c r="G83" s="17">
        <v>46135.618750000001</v>
      </c>
      <c r="H83" s="17">
        <v>46135.285416666673</v>
      </c>
      <c r="I83" s="17">
        <v>46136</v>
      </c>
      <c r="J83" s="31" t="s">
        <v>19</v>
      </c>
      <c r="K83" s="33" t="s">
        <v>35</v>
      </c>
      <c r="L83" s="30">
        <f>(Table8[[#This Row],[Garage_Booked_DateTime]] - Table8[[#This Row],[Defect_Reported_DateTime]])*24</f>
        <v>38.099999999685679</v>
      </c>
      <c r="M83" s="30" t="str">
        <f>IF(Table8[[#This Row],[Vehicle_Type]]&lt;&gt;"Specialised", "Not Applicable", IF(Table8[[#This Row],[Hours_To_Book]]&gt;48, "Yes", "No"))</f>
        <v>No</v>
      </c>
      <c r="N83" s="32">
        <f>(Table8[[#This Row],[Garage_Out_Date]]-Table8[[#This Row],[Garage_In_Date]])</f>
        <v>0.5</v>
      </c>
      <c r="O83" s="32" t="str">
        <f>IF(Table8[[#This Row],[Total_VOR_Days]] &gt;3.5, "Yes", "No")</f>
        <v>No</v>
      </c>
      <c r="P83" s="32" t="str">
        <f>IF(Table8[[#This Row],[Vehicle_Type]]&lt;&gt;"Specialised","Not Applicable", IF(Table8[[#This Row],[Hours_To_Book]]&gt;48, "Not Assessed", IF(Table8[[#This Row],[Total_VOR_Days]]&gt;3.5, "Ineffective", "Effective")))</f>
        <v>Effective</v>
      </c>
      <c r="Q83" s="44">
        <f>IF(OR(Table8[[#This Row],[Garage_In_Date]]="",Table8[[#This Row],[Actual_Repair_Start_Date]]=""),"N/A",(Table8[[#This Row],[Actual_Repair_Start_Date]]-Table8[[#This Row],[Garage_In_Date]])*24)</f>
        <v>4.0000000001164153</v>
      </c>
      <c r="R83" s="3"/>
    </row>
    <row r="84" spans="1:18" ht="24.95" customHeight="1">
      <c r="A84" s="22" t="s">
        <v>124</v>
      </c>
      <c r="B84" s="23" t="s">
        <v>21</v>
      </c>
      <c r="C84" s="23" t="s">
        <v>22</v>
      </c>
      <c r="D84" s="14">
        <v>46035.354166666657</v>
      </c>
      <c r="E84" s="14">
        <v>46037.70416666667</v>
      </c>
      <c r="F84" s="14">
        <v>46038.037499999999</v>
      </c>
      <c r="G84" s="14">
        <v>46041.737500000003</v>
      </c>
      <c r="H84" s="14">
        <v>46038.385416666657</v>
      </c>
      <c r="I84" s="14">
        <v>46040</v>
      </c>
      <c r="J84" s="25" t="s">
        <v>33</v>
      </c>
      <c r="K84" s="27" t="s">
        <v>35</v>
      </c>
      <c r="L84" s="24">
        <f>(Table8[[#This Row],[Garage_Booked_DateTime]] - Table8[[#This Row],[Defect_Reported_DateTime]])*24</f>
        <v>56.400000000314321</v>
      </c>
      <c r="M84" s="24" t="str">
        <f>IF(Table8[[#This Row],[Vehicle_Type]]&lt;&gt;"Specialised", "Not Applicable", IF(Table8[[#This Row],[Hours_To_Book]]&gt;48, "Yes", "No"))</f>
        <v>Not Applicable</v>
      </c>
      <c r="N84" s="26">
        <f>(Table8[[#This Row],[Garage_Out_Date]]-Table8[[#This Row],[Garage_In_Date]])</f>
        <v>3.7000000000043656</v>
      </c>
      <c r="O84" s="26" t="str">
        <f>IF(Table8[[#This Row],[Total_VOR_Days]] &gt;3.5, "Yes", "No")</f>
        <v>Yes</v>
      </c>
      <c r="P84" s="26" t="str">
        <f>IF(Table8[[#This Row],[Vehicle_Type]]&lt;&gt;"Specialised","Not Applicable", IF(Table8[[#This Row],[Hours_To_Book]]&gt;48, "Not Assessed", IF(Table8[[#This Row],[Total_VOR_Days]]&gt;3.5, "Ineffective", "Effective")))</f>
        <v>Not Applicable</v>
      </c>
      <c r="Q84" s="44">
        <f>IF(OR(Table8[[#This Row],[Garage_In_Date]]="",Table8[[#This Row],[Actual_Repair_Start_Date]]=""),"N/A",(Table8[[#This Row],[Actual_Repair_Start_Date]]-Table8[[#This Row],[Garage_In_Date]])*24)</f>
        <v>8.349999999802094</v>
      </c>
      <c r="R84" s="3"/>
    </row>
    <row r="85" spans="1:18" ht="24.95" customHeight="1">
      <c r="A85" s="28" t="s">
        <v>125</v>
      </c>
      <c r="B85" s="29" t="s">
        <v>21</v>
      </c>
      <c r="C85" s="29" t="s">
        <v>30</v>
      </c>
      <c r="D85" s="17">
        <v>46039.6875</v>
      </c>
      <c r="E85" s="17">
        <v>46040.020833333343</v>
      </c>
      <c r="F85" s="17">
        <v>46040.1875</v>
      </c>
      <c r="G85" s="17">
        <v>46043.487500000003</v>
      </c>
      <c r="H85" s="17">
        <v>46040.354166666657</v>
      </c>
      <c r="I85" s="17">
        <v>46042</v>
      </c>
      <c r="J85" s="31" t="s">
        <v>19</v>
      </c>
      <c r="K85" s="33" t="s">
        <v>89</v>
      </c>
      <c r="L85" s="30">
        <f>(Table8[[#This Row],[Garage_Booked_DateTime]] - Table8[[#This Row],[Defect_Reported_DateTime]])*24</f>
        <v>8.0000000002328306</v>
      </c>
      <c r="M85" s="30" t="str">
        <f>IF(Table8[[#This Row],[Vehicle_Type]]&lt;&gt;"Specialised", "Not Applicable", IF(Table8[[#This Row],[Hours_To_Book]]&gt;48, "Yes", "No"))</f>
        <v>Not Applicable</v>
      </c>
      <c r="N85" s="32">
        <f>(Table8[[#This Row],[Garage_Out_Date]]-Table8[[#This Row],[Garage_In_Date]])</f>
        <v>3.3000000000029104</v>
      </c>
      <c r="O85" s="32" t="str">
        <f>IF(Table8[[#This Row],[Total_VOR_Days]] &gt;3.5, "Yes", "No")</f>
        <v>No</v>
      </c>
      <c r="P85" s="32" t="str">
        <f>IF(Table8[[#This Row],[Vehicle_Type]]&lt;&gt;"Specialised","Not Applicable", IF(Table8[[#This Row],[Hours_To_Book]]&gt;48, "Not Assessed", IF(Table8[[#This Row],[Total_VOR_Days]]&gt;3.5, "Ineffective", "Effective")))</f>
        <v>Not Applicable</v>
      </c>
      <c r="Q85" s="44">
        <f>IF(OR(Table8[[#This Row],[Garage_In_Date]]="",Table8[[#This Row],[Actual_Repair_Start_Date]]=""),"N/A",(Table8[[#This Row],[Actual_Repair_Start_Date]]-Table8[[#This Row],[Garage_In_Date]])*24)</f>
        <v>3.9999999997671694</v>
      </c>
      <c r="R85" s="3"/>
    </row>
    <row r="86" spans="1:18" ht="24.95" customHeight="1">
      <c r="A86" s="22" t="s">
        <v>126</v>
      </c>
      <c r="B86" s="23" t="s">
        <v>14</v>
      </c>
      <c r="C86" s="23" t="s">
        <v>26</v>
      </c>
      <c r="D86" s="14">
        <v>46032.427083333343</v>
      </c>
      <c r="E86" s="14">
        <v>46033.997916666667</v>
      </c>
      <c r="F86" s="14">
        <v>46034.997916666667</v>
      </c>
      <c r="G86" s="14">
        <v>46036.697916666657</v>
      </c>
      <c r="H86" s="14">
        <v>46034.997916666667</v>
      </c>
      <c r="I86" s="14">
        <v>46036</v>
      </c>
      <c r="J86" s="25" t="s">
        <v>19</v>
      </c>
      <c r="K86" s="27" t="s">
        <v>31</v>
      </c>
      <c r="L86" s="24">
        <f>(Table8[[#This Row],[Garage_Booked_DateTime]] - Table8[[#This Row],[Defect_Reported_DateTime]])*24</f>
        <v>37.699999999778811</v>
      </c>
      <c r="M86" s="24" t="str">
        <f>IF(Table8[[#This Row],[Vehicle_Type]]&lt;&gt;"Specialised", "Not Applicable", IF(Table8[[#This Row],[Hours_To_Book]]&gt;48, "Yes", "No"))</f>
        <v>No</v>
      </c>
      <c r="N86" s="26">
        <f>(Table8[[#This Row],[Garage_Out_Date]]-Table8[[#This Row],[Garage_In_Date]])</f>
        <v>1.6999999999898137</v>
      </c>
      <c r="O86" s="26" t="str">
        <f>IF(Table8[[#This Row],[Total_VOR_Days]] &gt;3.5, "Yes", "No")</f>
        <v>No</v>
      </c>
      <c r="P86" s="26" t="str">
        <f>IF(Table8[[#This Row],[Vehicle_Type]]&lt;&gt;"Specialised","Not Applicable", IF(Table8[[#This Row],[Hours_To_Book]]&gt;48, "Not Assessed", IF(Table8[[#This Row],[Total_VOR_Days]]&gt;3.5, "Ineffective", "Effective")))</f>
        <v>Effective</v>
      </c>
      <c r="Q86" s="44">
        <f>IF(OR(Table8[[#This Row],[Garage_In_Date]]="",Table8[[#This Row],[Actual_Repair_Start_Date]]=""),"N/A",(Table8[[#This Row],[Actual_Repair_Start_Date]]-Table8[[#This Row],[Garage_In_Date]])*24)</f>
        <v>0</v>
      </c>
      <c r="R86" s="3"/>
    </row>
    <row r="87" spans="1:18" ht="24.95" customHeight="1">
      <c r="A87" s="28" t="s">
        <v>127</v>
      </c>
      <c r="B87" s="29" t="s">
        <v>21</v>
      </c>
      <c r="C87" s="29" t="s">
        <v>26</v>
      </c>
      <c r="D87" s="17">
        <v>46091.40625</v>
      </c>
      <c r="E87" s="17">
        <v>46092.664583333331</v>
      </c>
      <c r="F87" s="17">
        <v>46092.997916666667</v>
      </c>
      <c r="G87" s="17">
        <v>46099.597916666673</v>
      </c>
      <c r="H87" s="17">
        <v>46093.427083333343</v>
      </c>
      <c r="I87" s="17">
        <v>46097</v>
      </c>
      <c r="J87" s="31" t="s">
        <v>36</v>
      </c>
      <c r="K87" s="33" t="s">
        <v>48</v>
      </c>
      <c r="L87" s="30">
        <f>(Table8[[#This Row],[Garage_Booked_DateTime]] - Table8[[#This Row],[Defect_Reported_DateTime]])*24</f>
        <v>30.199999999953434</v>
      </c>
      <c r="M87" s="30" t="str">
        <f>IF(Table8[[#This Row],[Vehicle_Type]]&lt;&gt;"Specialised", "Not Applicable", IF(Table8[[#This Row],[Hours_To_Book]]&gt;48, "Yes", "No"))</f>
        <v>Not Applicable</v>
      </c>
      <c r="N87" s="32">
        <f>(Table8[[#This Row],[Garage_Out_Date]]-Table8[[#This Row],[Garage_In_Date]])</f>
        <v>6.6000000000058208</v>
      </c>
      <c r="O87" s="32" t="str">
        <f>IF(Table8[[#This Row],[Total_VOR_Days]] &gt;3.5, "Yes", "No")</f>
        <v>Yes</v>
      </c>
      <c r="P87" s="32" t="str">
        <f>IF(Table8[[#This Row],[Vehicle_Type]]&lt;&gt;"Specialised","Not Applicable", IF(Table8[[#This Row],[Hours_To_Book]]&gt;48, "Not Assessed", IF(Table8[[#This Row],[Total_VOR_Days]]&gt;3.5, "Ineffective", "Effective")))</f>
        <v>Not Applicable</v>
      </c>
      <c r="Q87" s="44">
        <f>IF(OR(Table8[[#This Row],[Garage_In_Date]]="",Table8[[#This Row],[Actual_Repair_Start_Date]]=""),"N/A",(Table8[[#This Row],[Actual_Repair_Start_Date]]-Table8[[#This Row],[Garage_In_Date]])*24)</f>
        <v>10.300000000221189</v>
      </c>
      <c r="R87" s="3"/>
    </row>
    <row r="88" spans="1:18" ht="24.95" customHeight="1">
      <c r="A88" s="22" t="s">
        <v>128</v>
      </c>
      <c r="B88" s="23" t="s">
        <v>14</v>
      </c>
      <c r="C88" s="23" t="s">
        <v>15</v>
      </c>
      <c r="D88" s="14">
        <v>46136.6875</v>
      </c>
      <c r="E88" s="14">
        <v>46138.112500000003</v>
      </c>
      <c r="F88" s="14">
        <v>46138.112500000003</v>
      </c>
      <c r="G88" s="14">
        <v>46141.612500000003</v>
      </c>
      <c r="H88" s="14">
        <v>46138.279166666667</v>
      </c>
      <c r="I88" s="14">
        <v>46140</v>
      </c>
      <c r="J88" s="25" t="s">
        <v>19</v>
      </c>
      <c r="K88" s="27" t="s">
        <v>38</v>
      </c>
      <c r="L88" s="24">
        <f>(Table8[[#This Row],[Garage_Booked_DateTime]] - Table8[[#This Row],[Defect_Reported_DateTime]])*24</f>
        <v>34.200000000069849</v>
      </c>
      <c r="M88" s="24" t="str">
        <f>IF(Table8[[#This Row],[Vehicle_Type]]&lt;&gt;"Specialised", "Not Applicable", IF(Table8[[#This Row],[Hours_To_Book]]&gt;48, "Yes", "No"))</f>
        <v>No</v>
      </c>
      <c r="N88" s="26">
        <f>(Table8[[#This Row],[Garage_Out_Date]]-Table8[[#This Row],[Garage_In_Date]])</f>
        <v>3.5</v>
      </c>
      <c r="O88" s="26" t="str">
        <f>IF(Table8[[#This Row],[Total_VOR_Days]] &gt;3.5, "Yes", "No")</f>
        <v>No</v>
      </c>
      <c r="P88" s="26" t="str">
        <f>IF(Table8[[#This Row],[Vehicle_Type]]&lt;&gt;"Specialised","Not Applicable", IF(Table8[[#This Row],[Hours_To_Book]]&gt;48, "Not Assessed", IF(Table8[[#This Row],[Total_VOR_Days]]&gt;3.5, "Ineffective", "Effective")))</f>
        <v>Effective</v>
      </c>
      <c r="Q88" s="44">
        <f>IF(OR(Table8[[#This Row],[Garage_In_Date]]="",Table8[[#This Row],[Actual_Repair_Start_Date]]=""),"N/A",(Table8[[#This Row],[Actual_Repair_Start_Date]]-Table8[[#This Row],[Garage_In_Date]])*24)</f>
        <v>3.9999999999417923</v>
      </c>
      <c r="R88" s="3"/>
    </row>
    <row r="89" spans="1:18" ht="24.95" customHeight="1">
      <c r="A89" s="28" t="s">
        <v>129</v>
      </c>
      <c r="B89" s="29" t="s">
        <v>21</v>
      </c>
      <c r="C89" s="29" t="s">
        <v>30</v>
      </c>
      <c r="D89" s="17">
        <v>46028.354166666657</v>
      </c>
      <c r="E89" s="17">
        <v>46031.1</v>
      </c>
      <c r="F89" s="17">
        <v>46031.26666666667</v>
      </c>
      <c r="G89" s="17">
        <v>46035.466666666667</v>
      </c>
      <c r="H89" s="17">
        <v>46033.427083333343</v>
      </c>
      <c r="I89" s="17">
        <v>46033</v>
      </c>
      <c r="J89" s="31" t="s">
        <v>159</v>
      </c>
      <c r="K89" s="33" t="s">
        <v>27</v>
      </c>
      <c r="L89" s="30">
        <f>(Table8[[#This Row],[Garage_Booked_DateTime]] - Table8[[#This Row],[Defect_Reported_DateTime]])*24</f>
        <v>65.900000000197906</v>
      </c>
      <c r="M89" s="30" t="str">
        <f>IF(Table8[[#This Row],[Vehicle_Type]]&lt;&gt;"Specialised", "Not Applicable", IF(Table8[[#This Row],[Hours_To_Book]]&gt;48, "Yes", "No"))</f>
        <v>Not Applicable</v>
      </c>
      <c r="N89" s="32">
        <f>(Table8[[#This Row],[Garage_Out_Date]]-Table8[[#This Row],[Garage_In_Date]])</f>
        <v>4.1999999999970896</v>
      </c>
      <c r="O89" s="32" t="str">
        <f>IF(Table8[[#This Row],[Total_VOR_Days]] &gt;3.5, "Yes", "No")</f>
        <v>Yes</v>
      </c>
      <c r="P89" s="32" t="str">
        <f>IF(Table8[[#This Row],[Vehicle_Type]]&lt;&gt;"Specialised","Not Applicable", IF(Table8[[#This Row],[Hours_To_Book]]&gt;48, "Not Assessed", IF(Table8[[#This Row],[Total_VOR_Days]]&gt;3.5, "Ineffective", "Effective")))</f>
        <v>Not Applicable</v>
      </c>
      <c r="Q89" s="44">
        <f>IF(OR(Table8[[#This Row],[Garage_In_Date]]="",Table8[[#This Row],[Actual_Repair_Start_Date]]=""),"N/A",(Table8[[#This Row],[Actual_Repair_Start_Date]]-Table8[[#This Row],[Garage_In_Date]])*24)</f>
        <v>51.85000000015134</v>
      </c>
      <c r="R89" s="3"/>
    </row>
    <row r="90" spans="1:18" ht="24.95" customHeight="1">
      <c r="A90" s="22" t="s">
        <v>130</v>
      </c>
      <c r="B90" s="23" t="s">
        <v>14</v>
      </c>
      <c r="C90" s="23" t="s">
        <v>26</v>
      </c>
      <c r="D90" s="14">
        <v>46116.447916666657</v>
      </c>
      <c r="E90" s="14">
        <v>46117.277083333327</v>
      </c>
      <c r="F90" s="14">
        <v>46118.777083333327</v>
      </c>
      <c r="G90" s="14">
        <v>46119.877083333333</v>
      </c>
      <c r="H90" s="14">
        <v>46118.777083333327</v>
      </c>
      <c r="I90" s="14">
        <v>46120</v>
      </c>
      <c r="J90" s="25" t="s">
        <v>19</v>
      </c>
      <c r="K90" s="27" t="s">
        <v>44</v>
      </c>
      <c r="L90" s="24">
        <f>(Table8[[#This Row],[Garage_Booked_DateTime]] - Table8[[#This Row],[Defect_Reported_DateTime]])*24</f>
        <v>19.900000000081491</v>
      </c>
      <c r="M90" s="24" t="str">
        <f>IF(Table8[[#This Row],[Vehicle_Type]]&lt;&gt;"Specialised", "Not Applicable", IF(Table8[[#This Row],[Hours_To_Book]]&gt;48, "Yes", "No"))</f>
        <v>No</v>
      </c>
      <c r="N90" s="26">
        <f>(Table8[[#This Row],[Garage_Out_Date]]-Table8[[#This Row],[Garage_In_Date]])</f>
        <v>1.1000000000058208</v>
      </c>
      <c r="O90" s="26" t="str">
        <f>IF(Table8[[#This Row],[Total_VOR_Days]] &gt;3.5, "Yes", "No")</f>
        <v>No</v>
      </c>
      <c r="P90" s="26" t="str">
        <f>IF(Table8[[#This Row],[Vehicle_Type]]&lt;&gt;"Specialised","Not Applicable", IF(Table8[[#This Row],[Hours_To_Book]]&gt;48, "Not Assessed", IF(Table8[[#This Row],[Total_VOR_Days]]&gt;3.5, "Ineffective", "Effective")))</f>
        <v>Effective</v>
      </c>
      <c r="Q90" s="44">
        <f>IF(OR(Table8[[#This Row],[Garage_In_Date]]="",Table8[[#This Row],[Actual_Repair_Start_Date]]=""),"N/A",(Table8[[#This Row],[Actual_Repair_Start_Date]]-Table8[[#This Row],[Garage_In_Date]])*24)</f>
        <v>0</v>
      </c>
      <c r="R90" s="3"/>
    </row>
    <row r="91" spans="1:18" ht="24.95" customHeight="1">
      <c r="A91" s="28" t="s">
        <v>131</v>
      </c>
      <c r="B91" s="29" t="s">
        <v>14</v>
      </c>
      <c r="C91" s="29" t="s">
        <v>22</v>
      </c>
      <c r="D91" s="17">
        <v>46132.541666666657</v>
      </c>
      <c r="E91" s="17">
        <v>46134.087500000001</v>
      </c>
      <c r="F91" s="17">
        <v>46136.087500000001</v>
      </c>
      <c r="G91" s="17">
        <v>46140.087500000001</v>
      </c>
      <c r="H91" s="17">
        <v>46136.254166666673</v>
      </c>
      <c r="I91" s="17">
        <v>46139</v>
      </c>
      <c r="J91" s="31" t="s">
        <v>36</v>
      </c>
      <c r="K91" s="33" t="s">
        <v>44</v>
      </c>
      <c r="L91" s="30">
        <f>(Table8[[#This Row],[Garage_Booked_DateTime]] - Table8[[#This Row],[Defect_Reported_DateTime]])*24</f>
        <v>37.100000000267755</v>
      </c>
      <c r="M91" s="30" t="str">
        <f>IF(Table8[[#This Row],[Vehicle_Type]]&lt;&gt;"Specialised", "Not Applicable", IF(Table8[[#This Row],[Hours_To_Book]]&gt;48, "Yes", "No"))</f>
        <v>No</v>
      </c>
      <c r="N91" s="32">
        <f>(Table8[[#This Row],[Garage_Out_Date]]-Table8[[#This Row],[Garage_In_Date]])</f>
        <v>4</v>
      </c>
      <c r="O91" s="32" t="str">
        <f>IF(Table8[[#This Row],[Total_VOR_Days]] &gt;3.5, "Yes", "No")</f>
        <v>Yes</v>
      </c>
      <c r="P91" s="32" t="str">
        <f>IF(Table8[[#This Row],[Vehicle_Type]]&lt;&gt;"Specialised","Not Applicable", IF(Table8[[#This Row],[Hours_To_Book]]&gt;48, "Not Assessed", IF(Table8[[#This Row],[Total_VOR_Days]]&gt;3.5, "Ineffective", "Effective")))</f>
        <v>Ineffective</v>
      </c>
      <c r="Q91" s="44">
        <f>IF(OR(Table8[[#This Row],[Garage_In_Date]]="",Table8[[#This Row],[Actual_Repair_Start_Date]]=""),"N/A",(Table8[[#This Row],[Actual_Repair_Start_Date]]-Table8[[#This Row],[Garage_In_Date]])*24)</f>
        <v>4.0000000001164153</v>
      </c>
      <c r="R91" s="3"/>
    </row>
    <row r="92" spans="1:18" ht="24.95" customHeight="1">
      <c r="A92" s="22" t="s">
        <v>132</v>
      </c>
      <c r="B92" s="23" t="s">
        <v>14</v>
      </c>
      <c r="C92" s="23" t="s">
        <v>26</v>
      </c>
      <c r="D92" s="14">
        <v>46105.708333333343</v>
      </c>
      <c r="E92" s="14">
        <v>46107.220833333333</v>
      </c>
      <c r="F92" s="14">
        <v>46107.387499999997</v>
      </c>
      <c r="G92" s="14">
        <v>46112.1875</v>
      </c>
      <c r="H92" s="14">
        <v>46107.554166666669</v>
      </c>
      <c r="I92" s="14">
        <v>46110</v>
      </c>
      <c r="J92" s="25" t="s">
        <v>33</v>
      </c>
      <c r="K92" s="27" t="s">
        <v>86</v>
      </c>
      <c r="L92" s="24">
        <f>(Table8[[#This Row],[Garage_Booked_DateTime]] - Table8[[#This Row],[Defect_Reported_DateTime]])*24</f>
        <v>36.299999999755528</v>
      </c>
      <c r="M92" s="24" t="str">
        <f>IF(Table8[[#This Row],[Vehicle_Type]]&lt;&gt;"Specialised", "Not Applicable", IF(Table8[[#This Row],[Hours_To_Book]]&gt;48, "Yes", "No"))</f>
        <v>No</v>
      </c>
      <c r="N92" s="26">
        <f>(Table8[[#This Row],[Garage_Out_Date]]-Table8[[#This Row],[Garage_In_Date]])</f>
        <v>4.8000000000029104</v>
      </c>
      <c r="O92" s="26" t="str">
        <f>IF(Table8[[#This Row],[Total_VOR_Days]] &gt;3.5, "Yes", "No")</f>
        <v>Yes</v>
      </c>
      <c r="P92" s="26" t="str">
        <f>IF(Table8[[#This Row],[Vehicle_Type]]&lt;&gt;"Specialised","Not Applicable", IF(Table8[[#This Row],[Hours_To_Book]]&gt;48, "Not Assessed", IF(Table8[[#This Row],[Total_VOR_Days]]&gt;3.5, "Ineffective", "Effective")))</f>
        <v>Ineffective</v>
      </c>
      <c r="Q92" s="44">
        <f>IF(OR(Table8[[#This Row],[Garage_In_Date]]="",Table8[[#This Row],[Actual_Repair_Start_Date]]=""),"N/A",(Table8[[#This Row],[Actual_Repair_Start_Date]]-Table8[[#This Row],[Garage_In_Date]])*24)</f>
        <v>4.0000000001164153</v>
      </c>
      <c r="R92" s="3"/>
    </row>
    <row r="93" spans="1:18" ht="24.95" customHeight="1">
      <c r="A93" s="28" t="s">
        <v>133</v>
      </c>
      <c r="B93" s="29" t="s">
        <v>21</v>
      </c>
      <c r="C93" s="29" t="s">
        <v>30</v>
      </c>
      <c r="D93" s="17">
        <v>46127.479166666657</v>
      </c>
      <c r="E93" s="17">
        <v>46130.01666666667</v>
      </c>
      <c r="F93" s="17">
        <v>46131.51666666667</v>
      </c>
      <c r="G93" s="17">
        <v>46139.51666666667</v>
      </c>
      <c r="H93" s="17">
        <v>46132.416666666657</v>
      </c>
      <c r="I93" s="17">
        <v>46139</v>
      </c>
      <c r="J93" s="31" t="s">
        <v>159</v>
      </c>
      <c r="K93" s="33" t="s">
        <v>35</v>
      </c>
      <c r="L93" s="30">
        <f>(Table8[[#This Row],[Garage_Booked_DateTime]] - Table8[[#This Row],[Defect_Reported_DateTime]])*24</f>
        <v>60.900000000314321</v>
      </c>
      <c r="M93" s="30" t="str">
        <f>IF(Table8[[#This Row],[Vehicle_Type]]&lt;&gt;"Specialised", "Not Applicable", IF(Table8[[#This Row],[Hours_To_Book]]&gt;48, "Yes", "No"))</f>
        <v>Not Applicable</v>
      </c>
      <c r="N93" s="32">
        <f>(Table8[[#This Row],[Garage_Out_Date]]-Table8[[#This Row],[Garage_In_Date]])</f>
        <v>8</v>
      </c>
      <c r="O93" s="32" t="str">
        <f>IF(Table8[[#This Row],[Total_VOR_Days]] &gt;3.5, "Yes", "No")</f>
        <v>Yes</v>
      </c>
      <c r="P93" s="32" t="str">
        <f>IF(Table8[[#This Row],[Vehicle_Type]]&lt;&gt;"Specialised","Not Applicable", IF(Table8[[#This Row],[Hours_To_Book]]&gt;48, "Not Assessed", IF(Table8[[#This Row],[Total_VOR_Days]]&gt;3.5, "Ineffective", "Effective")))</f>
        <v>Not Applicable</v>
      </c>
      <c r="Q93" s="44">
        <f>IF(OR(Table8[[#This Row],[Garage_In_Date]]="",Table8[[#This Row],[Actual_Repair_Start_Date]]=""),"N/A",(Table8[[#This Row],[Actual_Repair_Start_Date]]-Table8[[#This Row],[Garage_In_Date]])*24)</f>
        <v>21.599999999685679</v>
      </c>
      <c r="R93" s="3"/>
    </row>
    <row r="94" spans="1:18" ht="24.95" customHeight="1">
      <c r="A94" s="22" t="s">
        <v>134</v>
      </c>
      <c r="B94" s="23" t="s">
        <v>21</v>
      </c>
      <c r="C94" s="23" t="s">
        <v>15</v>
      </c>
      <c r="D94" s="14">
        <v>46107.34375</v>
      </c>
      <c r="E94" s="14">
        <v>46111.247916666667</v>
      </c>
      <c r="F94" s="14">
        <v>46111.414583333331</v>
      </c>
      <c r="G94" s="14">
        <v>46115.914583333331</v>
      </c>
      <c r="H94" s="14">
        <v>46111.414583333331</v>
      </c>
      <c r="I94" s="14">
        <v>46114</v>
      </c>
      <c r="J94" s="25" t="s">
        <v>33</v>
      </c>
      <c r="K94" s="27" t="s">
        <v>23</v>
      </c>
      <c r="L94" s="24">
        <f>(Table8[[#This Row],[Garage_Booked_DateTime]] - Table8[[#This Row],[Defect_Reported_DateTime]])*24</f>
        <v>93.700000000011642</v>
      </c>
      <c r="M94" s="24" t="str">
        <f>IF(Table8[[#This Row],[Vehicle_Type]]&lt;&gt;"Specialised", "Not Applicable", IF(Table8[[#This Row],[Hours_To_Book]]&gt;48, "Yes", "No"))</f>
        <v>Not Applicable</v>
      </c>
      <c r="N94" s="26">
        <f>(Table8[[#This Row],[Garage_Out_Date]]-Table8[[#This Row],[Garage_In_Date]])</f>
        <v>4.5</v>
      </c>
      <c r="O94" s="26" t="str">
        <f>IF(Table8[[#This Row],[Total_VOR_Days]] &gt;3.5, "Yes", "No")</f>
        <v>Yes</v>
      </c>
      <c r="P94" s="26" t="str">
        <f>IF(Table8[[#This Row],[Vehicle_Type]]&lt;&gt;"Specialised","Not Applicable", IF(Table8[[#This Row],[Hours_To_Book]]&gt;48, "Not Assessed", IF(Table8[[#This Row],[Total_VOR_Days]]&gt;3.5, "Ineffective", "Effective")))</f>
        <v>Not Applicable</v>
      </c>
      <c r="Q94" s="44">
        <f>IF(OR(Table8[[#This Row],[Garage_In_Date]]="",Table8[[#This Row],[Actual_Repair_Start_Date]]=""),"N/A",(Table8[[#This Row],[Actual_Repair_Start_Date]]-Table8[[#This Row],[Garage_In_Date]])*24)</f>
        <v>0</v>
      </c>
      <c r="R94" s="3"/>
    </row>
    <row r="95" spans="1:18" ht="24.95" customHeight="1">
      <c r="A95" s="28" t="s">
        <v>135</v>
      </c>
      <c r="B95" s="29" t="s">
        <v>14</v>
      </c>
      <c r="C95" s="29" t="s">
        <v>15</v>
      </c>
      <c r="D95" s="17">
        <v>46031.65625</v>
      </c>
      <c r="E95" s="17">
        <v>46032.939583333333</v>
      </c>
      <c r="F95" s="17">
        <v>46032.939583333333</v>
      </c>
      <c r="G95" s="17">
        <v>46034.739583333343</v>
      </c>
      <c r="H95" s="17">
        <v>46033.34375</v>
      </c>
      <c r="I95" s="17">
        <v>46034</v>
      </c>
      <c r="J95" s="31" t="s">
        <v>19</v>
      </c>
      <c r="K95" s="33" t="s">
        <v>27</v>
      </c>
      <c r="L95" s="30">
        <f>(Table8[[#This Row],[Garage_Booked_DateTime]] - Table8[[#This Row],[Defect_Reported_DateTime]])*24</f>
        <v>30.799999999988358</v>
      </c>
      <c r="M95" s="30" t="str">
        <f>IF(Table8[[#This Row],[Vehicle_Type]]&lt;&gt;"Specialised", "Not Applicable", IF(Table8[[#This Row],[Hours_To_Book]]&gt;48, "Yes", "No"))</f>
        <v>No</v>
      </c>
      <c r="N95" s="32">
        <f>(Table8[[#This Row],[Garage_Out_Date]]-Table8[[#This Row],[Garage_In_Date]])</f>
        <v>1.8000000000101863</v>
      </c>
      <c r="O95" s="32" t="str">
        <f>IF(Table8[[#This Row],[Total_VOR_Days]] &gt;3.5, "Yes", "No")</f>
        <v>No</v>
      </c>
      <c r="P95" s="32" t="str">
        <f>IF(Table8[[#This Row],[Vehicle_Type]]&lt;&gt;"Specialised","Not Applicable", IF(Table8[[#This Row],[Hours_To_Book]]&gt;48, "Not Assessed", IF(Table8[[#This Row],[Total_VOR_Days]]&gt;3.5, "Ineffective", "Effective")))</f>
        <v>Effective</v>
      </c>
      <c r="Q95" s="44">
        <f>IF(OR(Table8[[#This Row],[Garage_In_Date]]="",Table8[[#This Row],[Actual_Repair_Start_Date]]=""),"N/A",(Table8[[#This Row],[Actual_Repair_Start_Date]]-Table8[[#This Row],[Garage_In_Date]])*24)</f>
        <v>9.7000000000116415</v>
      </c>
      <c r="R95" s="3"/>
    </row>
    <row r="96" spans="1:18" ht="24.95" customHeight="1">
      <c r="A96" s="22" t="s">
        <v>136</v>
      </c>
      <c r="B96" s="23" t="s">
        <v>14</v>
      </c>
      <c r="C96" s="23" t="s">
        <v>30</v>
      </c>
      <c r="D96" s="14">
        <v>46026.364583333343</v>
      </c>
      <c r="E96" s="14">
        <v>46027.785416666673</v>
      </c>
      <c r="F96" s="14">
        <v>46027.785416666673</v>
      </c>
      <c r="G96" s="14">
        <v>46030.285416666673</v>
      </c>
      <c r="H96" s="14">
        <v>46028.46875</v>
      </c>
      <c r="I96" s="14">
        <v>46029</v>
      </c>
      <c r="J96" s="25" t="s">
        <v>19</v>
      </c>
      <c r="K96" s="27" t="s">
        <v>86</v>
      </c>
      <c r="L96" s="24">
        <f>(Table8[[#This Row],[Garage_Booked_DateTime]] - Table8[[#This Row],[Defect_Reported_DateTime]])*24</f>
        <v>34.099999999918509</v>
      </c>
      <c r="M96" s="24" t="str">
        <f>IF(Table8[[#This Row],[Vehicle_Type]]&lt;&gt;"Specialised", "Not Applicable", IF(Table8[[#This Row],[Hours_To_Book]]&gt;48, "Yes", "No"))</f>
        <v>No</v>
      </c>
      <c r="N96" s="26">
        <f>(Table8[[#This Row],[Garage_Out_Date]]-Table8[[#This Row],[Garage_In_Date]])</f>
        <v>2.5</v>
      </c>
      <c r="O96" s="26" t="str">
        <f>IF(Table8[[#This Row],[Total_VOR_Days]] &gt;3.5, "Yes", "No")</f>
        <v>No</v>
      </c>
      <c r="P96" s="26" t="str">
        <f>IF(Table8[[#This Row],[Vehicle_Type]]&lt;&gt;"Specialised","Not Applicable", IF(Table8[[#This Row],[Hours_To_Book]]&gt;48, "Not Assessed", IF(Table8[[#This Row],[Total_VOR_Days]]&gt;3.5, "Ineffective", "Effective")))</f>
        <v>Effective</v>
      </c>
      <c r="Q96" s="44">
        <f>IF(OR(Table8[[#This Row],[Garage_In_Date]]="",Table8[[#This Row],[Actual_Repair_Start_Date]]=""),"N/A",(Table8[[#This Row],[Actual_Repair_Start_Date]]-Table8[[#This Row],[Garage_In_Date]])*24)</f>
        <v>16.39999999984866</v>
      </c>
      <c r="R96" s="3"/>
    </row>
    <row r="97" spans="1:18" ht="24.95" customHeight="1">
      <c r="A97" s="28" t="s">
        <v>137</v>
      </c>
      <c r="B97" s="29" t="s">
        <v>14</v>
      </c>
      <c r="C97" s="29" t="s">
        <v>15</v>
      </c>
      <c r="D97" s="17">
        <v>46058.729166666657</v>
      </c>
      <c r="E97" s="17">
        <v>46059.587500000001</v>
      </c>
      <c r="F97" s="17">
        <v>46059.92083333333</v>
      </c>
      <c r="G97" s="17">
        <v>46065.92083333333</v>
      </c>
      <c r="H97" s="17">
        <v>46060.333333333343</v>
      </c>
      <c r="I97" s="17">
        <v>46065</v>
      </c>
      <c r="J97" s="31" t="s">
        <v>33</v>
      </c>
      <c r="K97" s="33" t="s">
        <v>27</v>
      </c>
      <c r="L97" s="30">
        <f>(Table8[[#This Row],[Garage_Booked_DateTime]] - Table8[[#This Row],[Defect_Reported_DateTime]])*24</f>
        <v>20.600000000267755</v>
      </c>
      <c r="M97" s="30" t="str">
        <f>IF(Table8[[#This Row],[Vehicle_Type]]&lt;&gt;"Specialised", "Not Applicable", IF(Table8[[#This Row],[Hours_To_Book]]&gt;48, "Yes", "No"))</f>
        <v>No</v>
      </c>
      <c r="N97" s="32">
        <f>(Table8[[#This Row],[Garage_Out_Date]]-Table8[[#This Row],[Garage_In_Date]])</f>
        <v>6</v>
      </c>
      <c r="O97" s="32" t="str">
        <f>IF(Table8[[#This Row],[Total_VOR_Days]] &gt;3.5, "Yes", "No")</f>
        <v>Yes</v>
      </c>
      <c r="P97" s="32" t="str">
        <f>IF(Table8[[#This Row],[Vehicle_Type]]&lt;&gt;"Specialised","Not Applicable", IF(Table8[[#This Row],[Hours_To_Book]]&gt;48, "Not Assessed", IF(Table8[[#This Row],[Total_VOR_Days]]&gt;3.5, "Ineffective", "Effective")))</f>
        <v>Ineffective</v>
      </c>
      <c r="Q97" s="44">
        <f>IF(OR(Table8[[#This Row],[Garage_In_Date]]="",Table8[[#This Row],[Actual_Repair_Start_Date]]=""),"N/A",(Table8[[#This Row],[Actual_Repair_Start_Date]]-Table8[[#This Row],[Garage_In_Date]])*24)</f>
        <v>9.9000000003143214</v>
      </c>
      <c r="R97" s="3"/>
    </row>
    <row r="98" spans="1:18" ht="24.95" customHeight="1">
      <c r="A98" s="22" t="s">
        <v>138</v>
      </c>
      <c r="B98" s="23" t="s">
        <v>21</v>
      </c>
      <c r="C98" s="23" t="s">
        <v>22</v>
      </c>
      <c r="D98" s="14">
        <v>46133.489583333343</v>
      </c>
      <c r="E98" s="14">
        <v>46135.152083333327</v>
      </c>
      <c r="F98" s="14">
        <v>46135.48541666667</v>
      </c>
      <c r="G98" s="14">
        <v>46140.085416666669</v>
      </c>
      <c r="H98" s="14">
        <v>46135.458333333343</v>
      </c>
      <c r="I98" s="14">
        <v>46138</v>
      </c>
      <c r="J98" s="25" t="s">
        <v>36</v>
      </c>
      <c r="K98" s="27" t="s">
        <v>89</v>
      </c>
      <c r="L98" s="24">
        <f>(Table8[[#This Row],[Garage_Booked_DateTime]] - Table8[[#This Row],[Defect_Reported_DateTime]])*24</f>
        <v>39.899999999615829</v>
      </c>
      <c r="M98" s="24" t="str">
        <f>IF(Table8[[#This Row],[Vehicle_Type]]&lt;&gt;"Specialised", "Not Applicable", IF(Table8[[#This Row],[Hours_To_Book]]&gt;48, "Yes", "No"))</f>
        <v>Not Applicable</v>
      </c>
      <c r="N98" s="26">
        <f>(Table8[[#This Row],[Garage_Out_Date]]-Table8[[#This Row],[Garage_In_Date]])</f>
        <v>4.5999999999985448</v>
      </c>
      <c r="O98" s="26" t="str">
        <f>IF(Table8[[#This Row],[Total_VOR_Days]] &gt;3.5, "Yes", "No")</f>
        <v>Yes</v>
      </c>
      <c r="P98" s="26" t="str">
        <f>IF(Table8[[#This Row],[Vehicle_Type]]&lt;&gt;"Specialised","Not Applicable", IF(Table8[[#This Row],[Hours_To_Book]]&gt;48, "Not Assessed", IF(Table8[[#This Row],[Total_VOR_Days]]&gt;3.5, "Ineffective", "Effective")))</f>
        <v>Not Applicable</v>
      </c>
      <c r="Q98" s="44">
        <f>IF(OR(Table8[[#This Row],[Garage_In_Date]]="",Table8[[#This Row],[Actual_Repair_Start_Date]]=""),"N/A",(Table8[[#This Row],[Actual_Repair_Start_Date]]-Table8[[#This Row],[Garage_In_Date]])*24)</f>
        <v>-0.64999999984866008</v>
      </c>
      <c r="R98" s="3"/>
    </row>
    <row r="99" spans="1:18" ht="24.95" customHeight="1">
      <c r="A99" s="28" t="s">
        <v>139</v>
      </c>
      <c r="B99" s="29" t="s">
        <v>14</v>
      </c>
      <c r="C99" s="29" t="s">
        <v>30</v>
      </c>
      <c r="D99" s="17">
        <v>46042.625</v>
      </c>
      <c r="E99" s="17">
        <v>46043.958333333343</v>
      </c>
      <c r="F99" s="17">
        <v>46044.958333333343</v>
      </c>
      <c r="G99" s="17">
        <v>46049.658333333333</v>
      </c>
      <c r="H99" s="17">
        <v>46045.125</v>
      </c>
      <c r="I99" s="17">
        <v>46048</v>
      </c>
      <c r="J99" s="31" t="s">
        <v>28</v>
      </c>
      <c r="K99" s="33" t="s">
        <v>86</v>
      </c>
      <c r="L99" s="30">
        <f>(Table8[[#This Row],[Garage_Booked_DateTime]] - Table8[[#This Row],[Defect_Reported_DateTime]])*24</f>
        <v>32.000000000232831</v>
      </c>
      <c r="M99" s="30" t="str">
        <f>IF(Table8[[#This Row],[Vehicle_Type]]&lt;&gt;"Specialised", "Not Applicable", IF(Table8[[#This Row],[Hours_To_Book]]&gt;48, "Yes", "No"))</f>
        <v>No</v>
      </c>
      <c r="N99" s="32">
        <f>(Table8[[#This Row],[Garage_Out_Date]]-Table8[[#This Row],[Garage_In_Date]])</f>
        <v>4.6999999999898137</v>
      </c>
      <c r="O99" s="32" t="str">
        <f>IF(Table8[[#This Row],[Total_VOR_Days]] &gt;3.5, "Yes", "No")</f>
        <v>Yes</v>
      </c>
      <c r="P99" s="32" t="str">
        <f>IF(Table8[[#This Row],[Vehicle_Type]]&lt;&gt;"Specialised","Not Applicable", IF(Table8[[#This Row],[Hours_To_Book]]&gt;48, "Not Assessed", IF(Table8[[#This Row],[Total_VOR_Days]]&gt;3.5, "Ineffective", "Effective")))</f>
        <v>Ineffective</v>
      </c>
      <c r="Q99" s="44">
        <f>IF(OR(Table8[[#This Row],[Garage_In_Date]]="",Table8[[#This Row],[Actual_Repair_Start_Date]]=""),"N/A",(Table8[[#This Row],[Actual_Repair_Start_Date]]-Table8[[#This Row],[Garage_In_Date]])*24)</f>
        <v>3.9999999997671694</v>
      </c>
      <c r="R99" s="3"/>
    </row>
    <row r="100" spans="1:18" ht="24.95" customHeight="1">
      <c r="A100" s="22" t="s">
        <v>140</v>
      </c>
      <c r="B100" s="23" t="s">
        <v>21</v>
      </c>
      <c r="C100" s="23" t="s">
        <v>42</v>
      </c>
      <c r="D100" s="14">
        <v>46094.541666666657</v>
      </c>
      <c r="E100" s="14">
        <v>46095.254166666673</v>
      </c>
      <c r="F100" s="14">
        <v>46096.254166666673</v>
      </c>
      <c r="G100" s="14">
        <v>46102.654166666667</v>
      </c>
      <c r="H100" s="14">
        <v>46096.479166666657</v>
      </c>
      <c r="I100" s="14">
        <v>46100</v>
      </c>
      <c r="J100" s="25" t="s">
        <v>163</v>
      </c>
      <c r="K100" s="27" t="s">
        <v>89</v>
      </c>
      <c r="L100" s="24">
        <f>(Table8[[#This Row],[Garage_Booked_DateTime]] - Table8[[#This Row],[Defect_Reported_DateTime]])*24</f>
        <v>17.100000000384171</v>
      </c>
      <c r="M100" s="24" t="str">
        <f>IF(Table8[[#This Row],[Vehicle_Type]]&lt;&gt;"Specialised", "Not Applicable", IF(Table8[[#This Row],[Hours_To_Book]]&gt;48, "Yes", "No"))</f>
        <v>Not Applicable</v>
      </c>
      <c r="N100" s="26">
        <f>(Table8[[#This Row],[Garage_Out_Date]]-Table8[[#This Row],[Garage_In_Date]])</f>
        <v>6.3999999999941792</v>
      </c>
      <c r="O100" s="26" t="str">
        <f>IF(Table8[[#This Row],[Total_VOR_Days]] &gt;3.5, "Yes", "No")</f>
        <v>Yes</v>
      </c>
      <c r="P100" s="26" t="str">
        <f>IF(Table8[[#This Row],[Vehicle_Type]]&lt;&gt;"Specialised","Not Applicable", IF(Table8[[#This Row],[Hours_To_Book]]&gt;48, "Not Assessed", IF(Table8[[#This Row],[Total_VOR_Days]]&gt;3.5, "Ineffective", "Effective")))</f>
        <v>Not Applicable</v>
      </c>
      <c r="Q100" s="44">
        <f>IF(OR(Table8[[#This Row],[Garage_In_Date]]="",Table8[[#This Row],[Actual_Repair_Start_Date]]=""),"N/A",(Table8[[#This Row],[Actual_Repair_Start_Date]]-Table8[[#This Row],[Garage_In_Date]])*24)</f>
        <v>5.3999999996158294</v>
      </c>
      <c r="R100" s="3"/>
    </row>
    <row r="101" spans="1:18" ht="24.95" customHeight="1">
      <c r="A101" s="28" t="s">
        <v>141</v>
      </c>
      <c r="B101" s="29" t="s">
        <v>21</v>
      </c>
      <c r="C101" s="29" t="s">
        <v>15</v>
      </c>
      <c r="D101" s="17">
        <v>46096.677083333343</v>
      </c>
      <c r="E101" s="17">
        <v>46099.560416666667</v>
      </c>
      <c r="F101" s="17">
        <v>46099.560416666667</v>
      </c>
      <c r="G101" s="17">
        <v>46105.660416666673</v>
      </c>
      <c r="H101" s="17">
        <v>46101.458333333343</v>
      </c>
      <c r="I101" s="17">
        <v>46106</v>
      </c>
      <c r="J101" s="31" t="s">
        <v>163</v>
      </c>
      <c r="K101" s="33" t="s">
        <v>48</v>
      </c>
      <c r="L101" s="30">
        <f>(Table8[[#This Row],[Garage_Booked_DateTime]] - Table8[[#This Row],[Defect_Reported_DateTime]])*24</f>
        <v>69.199999999778811</v>
      </c>
      <c r="M101" s="30" t="str">
        <f>IF(Table8[[#This Row],[Vehicle_Type]]&lt;&gt;"Specialised", "Not Applicable", IF(Table8[[#This Row],[Hours_To_Book]]&gt;48, "Yes", "No"))</f>
        <v>Not Applicable</v>
      </c>
      <c r="N101" s="32">
        <f>(Table8[[#This Row],[Garage_Out_Date]]-Table8[[#This Row],[Garage_In_Date]])</f>
        <v>6.1000000000058208</v>
      </c>
      <c r="O101" s="32" t="str">
        <f>IF(Table8[[#This Row],[Total_VOR_Days]] &gt;3.5, "Yes", "No")</f>
        <v>Yes</v>
      </c>
      <c r="P101" s="32" t="str">
        <f>IF(Table8[[#This Row],[Vehicle_Type]]&lt;&gt;"Specialised","Not Applicable", IF(Table8[[#This Row],[Hours_To_Book]]&gt;48, "Not Assessed", IF(Table8[[#This Row],[Total_VOR_Days]]&gt;3.5, "Ineffective", "Effective")))</f>
        <v>Not Applicable</v>
      </c>
      <c r="Q101" s="44">
        <f>IF(OR(Table8[[#This Row],[Garage_In_Date]]="",Table8[[#This Row],[Actual_Repair_Start_Date]]=""),"N/A",(Table8[[#This Row],[Actual_Repair_Start_Date]]-Table8[[#This Row],[Garage_In_Date]])*24)</f>
        <v>45.550000000221189</v>
      </c>
      <c r="R101" s="3"/>
    </row>
    <row r="102" spans="1:18" ht="24.95" customHeight="1">
      <c r="A102" s="28"/>
      <c r="B102" s="29"/>
      <c r="C102" s="29"/>
      <c r="D102" s="17"/>
      <c r="E102" s="17"/>
      <c r="F102" s="17"/>
      <c r="G102" s="17"/>
      <c r="H102" s="17"/>
      <c r="I102" s="17"/>
      <c r="J102" s="65">
        <f>AVERAGEIF(Table8[Primary_Delay_Reason],"Parts on Backorder",Table8[Total_VOR_Days])</f>
        <v>6.1999999999990303</v>
      </c>
      <c r="K102" s="33"/>
      <c r="L102" s="30"/>
      <c r="M102" s="30"/>
      <c r="N102" s="32"/>
      <c r="O102" s="32"/>
      <c r="P102" s="32"/>
      <c r="Q102" s="32"/>
    </row>
  </sheetData>
  <phoneticPr fontId="7" type="noConversion"/>
  <conditionalFormatting sqref="M1:M101">
    <cfRule type="containsText" dxfId="10" priority="4" operator="containsText" text="Yes">
      <formula>NOT(ISERROR(SEARCH("Yes",M1)))</formula>
    </cfRule>
  </conditionalFormatting>
  <conditionalFormatting sqref="M103:M1048576">
    <cfRule type="containsText" dxfId="9" priority="12" operator="containsText" text="Yes">
      <formula>NOT(ISERROR(SEARCH("Yes",M103)))</formula>
    </cfRule>
  </conditionalFormatting>
  <conditionalFormatting sqref="O1:O101">
    <cfRule type="containsText" dxfId="8" priority="3" operator="containsText" text="Yes">
      <formula>NOT(ISERROR(SEARCH("Yes",O1)))</formula>
    </cfRule>
  </conditionalFormatting>
  <conditionalFormatting sqref="O103:O1048576">
    <cfRule type="containsText" dxfId="7" priority="11" operator="containsText" text="Yes">
      <formula>NOT(ISERROR(SEARCH("Yes",O103)))</formula>
    </cfRule>
  </conditionalFormatting>
  <conditionalFormatting sqref="P1:P101">
    <cfRule type="cellIs" dxfId="6" priority="1" operator="equal">
      <formula>"Ineffective"</formula>
    </cfRule>
    <cfRule type="cellIs" dxfId="5" priority="2" operator="equal">
      <formula>"Effective"</formula>
    </cfRule>
  </conditionalFormatting>
  <conditionalFormatting sqref="P103:P1048576">
    <cfRule type="cellIs" dxfId="4" priority="9" operator="equal">
      <formula>"Ineffective"</formula>
    </cfRule>
    <cfRule type="cellIs" dxfId="3" priority="10" operator="equal">
      <formula>"Effective"</formula>
    </cfRule>
  </conditionalFormatting>
  <pageMargins left="0.7" right="0.7" top="0.75" bottom="0.75" header="0.3" footer="0.3"/>
  <pageSetup paperSize="9" orientation="portrait" horizontalDpi="4294967292" verticalDpi="120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89CA5-8864-4EE9-8C5B-6231C10485FC}">
  <sheetPr codeName="Sheet7"/>
  <dimension ref="A1:B14"/>
  <sheetViews>
    <sheetView showGridLines="0" workbookViewId="0">
      <selection activeCell="B14" sqref="B14"/>
    </sheetView>
  </sheetViews>
  <sheetFormatPr defaultRowHeight="14.25"/>
  <cols>
    <col min="1" max="1" width="34.875" customWidth="1"/>
    <col min="2" max="2" width="85.625" customWidth="1"/>
  </cols>
  <sheetData>
    <row r="1" spans="1:2" s="2" customFormat="1" ht="15">
      <c r="A1" s="2" t="s">
        <v>190</v>
      </c>
      <c r="B1" s="2" t="s">
        <v>191</v>
      </c>
    </row>
    <row r="2" spans="1:2">
      <c r="A2" t="s">
        <v>192</v>
      </c>
      <c r="B2" t="s">
        <v>193</v>
      </c>
    </row>
    <row r="4" spans="1:2">
      <c r="A4" t="s">
        <v>194</v>
      </c>
      <c r="B4" t="s">
        <v>195</v>
      </c>
    </row>
    <row r="6" spans="1:2">
      <c r="A6" t="s">
        <v>196</v>
      </c>
      <c r="B6" t="s">
        <v>197</v>
      </c>
    </row>
    <row r="8" spans="1:2">
      <c r="A8" t="s">
        <v>198</v>
      </c>
      <c r="B8" t="s">
        <v>199</v>
      </c>
    </row>
    <row r="10" spans="1:2">
      <c r="A10" t="s">
        <v>200</v>
      </c>
      <c r="B10" t="s">
        <v>201</v>
      </c>
    </row>
    <row r="12" spans="1:2">
      <c r="A12" t="s">
        <v>202</v>
      </c>
      <c r="B12" t="s">
        <v>203</v>
      </c>
    </row>
    <row r="14" spans="1:2">
      <c r="A14" t="s">
        <v>204</v>
      </c>
      <c r="B14" t="s">
        <v>205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B9"/>
  <sheetViews>
    <sheetView showGridLines="0" workbookViewId="0">
      <selection activeCell="B22" sqref="B22"/>
    </sheetView>
  </sheetViews>
  <sheetFormatPr defaultRowHeight="14.25"/>
  <cols>
    <col min="1" max="1" width="107.625" customWidth="1"/>
    <col min="2" max="2" width="92.625" customWidth="1"/>
  </cols>
  <sheetData>
    <row r="1" spans="1:2" ht="15" customHeight="1">
      <c r="A1" s="2" t="s">
        <v>144</v>
      </c>
      <c r="B1" s="2" t="s">
        <v>145</v>
      </c>
    </row>
    <row r="2" spans="1:2">
      <c r="A2" s="7" t="s">
        <v>146</v>
      </c>
      <c r="B2" s="7" t="s">
        <v>147</v>
      </c>
    </row>
    <row r="3" spans="1:2">
      <c r="A3" s="7" t="s">
        <v>148</v>
      </c>
      <c r="B3" s="7" t="s">
        <v>189</v>
      </c>
    </row>
    <row r="4" spans="1:2">
      <c r="A4" s="7" t="s">
        <v>149</v>
      </c>
      <c r="B4" s="7" t="s">
        <v>150</v>
      </c>
    </row>
    <row r="5" spans="1:2">
      <c r="A5" s="7" t="s">
        <v>151</v>
      </c>
      <c r="B5" s="7" t="s">
        <v>152</v>
      </c>
    </row>
    <row r="6" spans="1:2">
      <c r="A6" s="7" t="s">
        <v>153</v>
      </c>
      <c r="B6" s="7" t="s">
        <v>154</v>
      </c>
    </row>
    <row r="7" spans="1:2">
      <c r="A7" s="7" t="s">
        <v>155</v>
      </c>
      <c r="B7" s="7" t="s">
        <v>156</v>
      </c>
    </row>
    <row r="8" spans="1:2">
      <c r="A8" s="7"/>
      <c r="B8" s="7"/>
    </row>
    <row r="9" spans="1:2">
      <c r="A9" s="7"/>
      <c r="B9" s="7"/>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B076E5-0CB4-42EC-A808-D5758DEDD1E8}">
  <sheetPr codeName="Sheet5"/>
  <dimension ref="B2:L33"/>
  <sheetViews>
    <sheetView showGridLines="0" workbookViewId="0">
      <selection activeCell="B28" sqref="B28"/>
    </sheetView>
  </sheetViews>
  <sheetFormatPr defaultRowHeight="14.25"/>
  <cols>
    <col min="1" max="1" width="3.375" customWidth="1"/>
    <col min="2" max="2" width="16.625" customWidth="1"/>
    <col min="3" max="3" width="8.75" customWidth="1"/>
    <col min="4" max="4" width="16.625" customWidth="1"/>
    <col min="5" max="5" width="3.375" customWidth="1"/>
    <col min="6" max="6" width="19.375" customWidth="1"/>
    <col min="7" max="7" width="3.375" customWidth="1"/>
    <col min="8" max="8" width="16.625" customWidth="1"/>
    <col min="9" max="9" width="3.375" customWidth="1"/>
    <col min="10" max="10" width="16.625" customWidth="1"/>
    <col min="11" max="11" width="3.375" customWidth="1"/>
    <col min="12" max="12" width="16.625" customWidth="1"/>
  </cols>
  <sheetData>
    <row r="2" spans="2:12" ht="23.25">
      <c r="B2" s="46" t="s">
        <v>166</v>
      </c>
    </row>
    <row r="4" spans="2:12">
      <c r="B4" s="47" t="s">
        <v>167</v>
      </c>
      <c r="D4" s="49" t="s">
        <v>168</v>
      </c>
      <c r="F4" s="51" t="s">
        <v>157</v>
      </c>
      <c r="H4" s="53" t="s">
        <v>158</v>
      </c>
      <c r="J4" s="55" t="s">
        <v>169</v>
      </c>
      <c r="L4" s="57" t="s">
        <v>170</v>
      </c>
    </row>
    <row r="5" spans="2:12" ht="30">
      <c r="B5" s="48">
        <f>COUNTA(Table8[Vehicle_ID])</f>
        <v>100</v>
      </c>
      <c r="D5" s="50">
        <f>ROUND(AVERAGE(Table8[Total_VOR_Days]),1)</f>
        <v>4.3</v>
      </c>
      <c r="F5" s="52">
        <f>COUNTIF(Table8[VOR_SLA_Breached?],"No")/COUNTA(Table8[Vehicle_ID])</f>
        <v>0.38</v>
      </c>
      <c r="H5" s="54">
        <f>COUNTIF(Table8[VOR_SLA_Breached?],"Yes")/COUNTA(Table8[Vehicle_ID])</f>
        <v>0.62</v>
      </c>
      <c r="J5" s="56">
        <f>COUNTIF(Table8[Booking_SLA_Breached?],"Yes")/COUNTIF(Table8[Vehicle_Type],"Specialised")</f>
        <v>5.7142857142857141E-2</v>
      </c>
      <c r="L5" s="58">
        <f>ROUND(AVERAGE(Table8[Hours_To_Book]),1)</f>
        <v>47.1</v>
      </c>
    </row>
    <row r="8" spans="2:12">
      <c r="B8" t="s">
        <v>171</v>
      </c>
      <c r="C8" t="s">
        <v>172</v>
      </c>
      <c r="F8" t="s">
        <v>165</v>
      </c>
      <c r="G8" t="s">
        <v>168</v>
      </c>
    </row>
    <row r="9" spans="2:12">
      <c r="B9" t="s">
        <v>173</v>
      </c>
      <c r="C9">
        <f>COUNTIF(Table8[VOR_SLA_Breached?],"No")</f>
        <v>38</v>
      </c>
      <c r="F9" t="s">
        <v>31</v>
      </c>
      <c r="G9">
        <f>AVERAGEIF(Table8[Garage_Name],"15 Yemen Rd Garage",Table8[Total_VOR_Days])</f>
        <v>3.3333333333300996</v>
      </c>
    </row>
    <row r="10" spans="2:12">
      <c r="B10" t="s">
        <v>174</v>
      </c>
      <c r="C10">
        <f>COUNTIF(Table8[VOR_SLA_Breached?],"Yes")</f>
        <v>62</v>
      </c>
      <c r="F10" t="s">
        <v>27</v>
      </c>
      <c r="G10">
        <f>AVERAGEIF(Table8[Garage_Name],"Central Perk Repairs",Table8[Total_VOR_Days])</f>
        <v>3.7066666666670547</v>
      </c>
    </row>
    <row r="11" spans="2:12">
      <c r="F11" t="s">
        <v>44</v>
      </c>
      <c r="G11">
        <f>AVERAGEIF(Table8[Garage_Name],"Dr Drake Ramoray Autos",Table8[Total_VOR_Days])</f>
        <v>4.1399999999979631</v>
      </c>
    </row>
    <row r="12" spans="2:12">
      <c r="F12" t="s">
        <v>23</v>
      </c>
      <c r="G12">
        <f>AVERAGEIF(Table8[Garage_Name],"Geller Repair Shop",Table8[Total_VOR_Days])</f>
        <v>4.2111111111128894</v>
      </c>
    </row>
    <row r="13" spans="2:12">
      <c r="F13" t="s">
        <v>18</v>
      </c>
      <c r="G13">
        <f>AVERAGEIF(Table8[Garage_Name],"Joey Special Auto Centre",Table8[Total_VOR_Days])</f>
        <v>4.844444444442666</v>
      </c>
    </row>
    <row r="14" spans="2:12">
      <c r="F14" t="s">
        <v>86</v>
      </c>
      <c r="G14">
        <f>AVERAGEIF(Table8[Garage_Name],"Miss Chanandler Bong Garage",Table8[Total_VOR_Days])</f>
        <v>3.4833333333323631</v>
      </c>
    </row>
    <row r="15" spans="2:12">
      <c r="F15" t="s">
        <v>48</v>
      </c>
      <c r="G15">
        <f>AVERAGEIF(Table8[Garage_Name],"Mississippilessly Repairs",Table8[Total_VOR_Days])</f>
        <v>5.78999999999869</v>
      </c>
    </row>
    <row r="16" spans="2:12">
      <c r="F16" t="s">
        <v>38</v>
      </c>
      <c r="G16">
        <f>AVERAGEIF(Table8[Garage_Name],"PIVOT Garage Repairs",Table8[Total_VOR_Days])</f>
        <v>3.7692307692302096</v>
      </c>
    </row>
    <row r="17" spans="2:7">
      <c r="F17" t="s">
        <v>35</v>
      </c>
      <c r="G17">
        <f>AVERAGEIF(Table8[Garage_Name],"Princess Consuela Auto Centre",Table8[Total_VOR_Days])</f>
        <v>4.9384615384601949</v>
      </c>
    </row>
    <row r="18" spans="2:7">
      <c r="F18" t="s">
        <v>89</v>
      </c>
      <c r="G18">
        <f>AVERAGEIF(Table8[Garage_Name],"Rachel Greep Workshop",Table8[Total_VOR_Days])</f>
        <v>4.4833333333347882</v>
      </c>
    </row>
    <row r="26" spans="2:7">
      <c r="B26" s="45" t="s">
        <v>175</v>
      </c>
      <c r="C26" s="59" t="s">
        <v>172</v>
      </c>
      <c r="D26" s="45"/>
    </row>
    <row r="27" spans="2:7">
      <c r="B27" s="45" t="s">
        <v>19</v>
      </c>
      <c r="C27" s="45">
        <f>COUNTIF(Table8[Primary_Delay_Reason],"None (On Time)")</f>
        <v>38</v>
      </c>
      <c r="D27" s="45"/>
    </row>
    <row r="28" spans="2:7" ht="28.5">
      <c r="B28" s="45" t="s">
        <v>36</v>
      </c>
      <c r="C28" s="45">
        <f>COUNTIF(Table8[Primary_Delay_Reason],"Parts on Backorder")</f>
        <v>15</v>
      </c>
      <c r="D28" s="45"/>
    </row>
    <row r="29" spans="2:7" ht="28.5">
      <c r="B29" s="45" t="s">
        <v>28</v>
      </c>
      <c r="C29" s="45">
        <f>COUNTIF(Table8[Primary_Delay_Reason],"Garage Capacity / Ramp Delay")</f>
        <v>12</v>
      </c>
      <c r="D29" s="45"/>
    </row>
    <row r="30" spans="2:7" ht="28.5">
      <c r="B30" s="45" t="s">
        <v>159</v>
      </c>
      <c r="C30" s="45">
        <f>COUNTIF(Table8[Primary_Delay_Reason],"Incorrect Job Scoping")</f>
        <v>10</v>
      </c>
      <c r="D30" s="45"/>
    </row>
    <row r="31" spans="2:7" ht="28.5">
      <c r="B31" s="45" t="s">
        <v>33</v>
      </c>
      <c r="C31" s="45">
        <f>COUNTIF(Table8[Primary_Delay_Reason],"Awaiting Client Authorization")</f>
        <v>14</v>
      </c>
      <c r="D31" s="45"/>
    </row>
    <row r="32" spans="2:7" ht="28.5">
      <c r="B32" s="45" t="s">
        <v>24</v>
      </c>
      <c r="C32" s="45">
        <f>COUNTIF(Table8[Primary_Delay_Reason],"Recovery Delivery Failure")</f>
        <v>0</v>
      </c>
      <c r="D32" s="45"/>
    </row>
    <row r="33" spans="2:4" ht="28.5">
      <c r="B33" s="45" t="s">
        <v>163</v>
      </c>
      <c r="C33" s="45">
        <f>COUNTIF(Table8[Primary_Delay_Reason],"Unknown / Insufficient Data")</f>
        <v>11</v>
      </c>
      <c r="D33" s="45"/>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F251D5-D295-4AA6-AB29-CD5EE7EE79F9}">
  <sheetPr codeName="Sheet6"/>
  <dimension ref="B2:J31"/>
  <sheetViews>
    <sheetView showGridLines="0" workbookViewId="0">
      <selection activeCell="H31" sqref="H31"/>
    </sheetView>
  </sheetViews>
  <sheetFormatPr defaultRowHeight="14.25"/>
  <cols>
    <col min="2" max="2" width="13.125" bestFit="1" customWidth="1"/>
    <col min="3" max="3" width="18.625" bestFit="1" customWidth="1"/>
    <col min="6" max="6" width="18.625" bestFit="1" customWidth="1"/>
    <col min="7" max="7" width="14.5" bestFit="1" customWidth="1"/>
    <col min="8" max="8" width="26.25" bestFit="1" customWidth="1"/>
    <col min="12" max="12" width="14.125" bestFit="1" customWidth="1"/>
    <col min="13" max="13" width="26.25" bestFit="1" customWidth="1"/>
    <col min="14" max="14" width="9" customWidth="1"/>
  </cols>
  <sheetData>
    <row r="2" spans="2:10" ht="20.25">
      <c r="B2" s="60" t="s">
        <v>176</v>
      </c>
      <c r="J2" s="2"/>
    </row>
    <row r="4" spans="2:10" ht="15">
      <c r="B4" s="2" t="s">
        <v>185</v>
      </c>
      <c r="F4" s="2" t="s">
        <v>182</v>
      </c>
    </row>
    <row r="5" spans="2:10">
      <c r="B5" s="61" t="s">
        <v>177</v>
      </c>
      <c r="C5" t="s">
        <v>179</v>
      </c>
      <c r="F5" s="61" t="s">
        <v>177</v>
      </c>
      <c r="G5" t="s">
        <v>186</v>
      </c>
    </row>
    <row r="6" spans="2:10">
      <c r="B6" s="62" t="s">
        <v>16</v>
      </c>
      <c r="C6" s="66">
        <v>6</v>
      </c>
      <c r="F6" s="62" t="s">
        <v>48</v>
      </c>
      <c r="G6" s="66">
        <v>6</v>
      </c>
    </row>
    <row r="7" spans="2:10">
      <c r="B7" s="62" t="s">
        <v>178</v>
      </c>
      <c r="C7" s="66">
        <v>6</v>
      </c>
      <c r="F7" s="62" t="s">
        <v>178</v>
      </c>
      <c r="G7" s="66">
        <v>6</v>
      </c>
    </row>
    <row r="19" spans="2:8" ht="15">
      <c r="B19" s="2" t="s">
        <v>183</v>
      </c>
      <c r="F19" s="64" t="s">
        <v>184</v>
      </c>
    </row>
    <row r="20" spans="2:8">
      <c r="B20" s="61" t="s">
        <v>177</v>
      </c>
      <c r="C20" t="s">
        <v>179</v>
      </c>
      <c r="F20" t="s">
        <v>179</v>
      </c>
      <c r="G20" t="s">
        <v>180</v>
      </c>
      <c r="H20" t="s">
        <v>181</v>
      </c>
    </row>
    <row r="21" spans="2:8">
      <c r="B21" s="62" t="s">
        <v>33</v>
      </c>
      <c r="C21" s="66">
        <v>1</v>
      </c>
      <c r="F21" s="66">
        <v>6</v>
      </c>
      <c r="G21" s="63">
        <v>6.6833333333330911</v>
      </c>
      <c r="H21" s="63">
        <v>46.316666666709352</v>
      </c>
    </row>
    <row r="22" spans="2:8">
      <c r="B22" s="62" t="s">
        <v>28</v>
      </c>
      <c r="C22" s="66">
        <v>1</v>
      </c>
    </row>
    <row r="23" spans="2:8" ht="15">
      <c r="B23" s="62" t="s">
        <v>159</v>
      </c>
      <c r="C23" s="66">
        <v>1</v>
      </c>
      <c r="F23" s="2"/>
    </row>
    <row r="24" spans="2:8">
      <c r="B24" s="62" t="s">
        <v>36</v>
      </c>
      <c r="C24" s="66">
        <v>1</v>
      </c>
    </row>
    <row r="25" spans="2:8" ht="15">
      <c r="B25" s="62" t="s">
        <v>163</v>
      </c>
      <c r="C25" s="66">
        <v>2</v>
      </c>
      <c r="G25" s="2" t="s">
        <v>187</v>
      </c>
    </row>
    <row r="26" spans="2:8">
      <c r="B26" s="62" t="s">
        <v>178</v>
      </c>
      <c r="C26" s="66">
        <v>6</v>
      </c>
      <c r="G26" s="61" t="s">
        <v>177</v>
      </c>
      <c r="H26" t="s">
        <v>180</v>
      </c>
    </row>
    <row r="27" spans="2:8">
      <c r="G27" s="62" t="s">
        <v>15</v>
      </c>
      <c r="H27" s="66">
        <v>6.1000000000058208</v>
      </c>
    </row>
    <row r="28" spans="2:8">
      <c r="G28" s="62" t="s">
        <v>26</v>
      </c>
      <c r="H28" s="66">
        <v>8.366666666661331</v>
      </c>
    </row>
    <row r="29" spans="2:8">
      <c r="G29" s="62" t="s">
        <v>42</v>
      </c>
      <c r="H29" s="66">
        <v>4.3000000000101863</v>
      </c>
    </row>
    <row r="30" spans="2:8">
      <c r="G30" s="62" t="s">
        <v>22</v>
      </c>
      <c r="H30" s="66">
        <v>4.5999999999985448</v>
      </c>
    </row>
    <row r="31" spans="2:8">
      <c r="G31" s="62" t="s">
        <v>178</v>
      </c>
      <c r="H31" s="66">
        <v>6.6833333333330911</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Raw_Fleet_Data</vt:lpstr>
      <vt:lpstr>Cleaned_Data</vt:lpstr>
      <vt:lpstr>Formula_Logic_Review</vt:lpstr>
      <vt:lpstr>Data_Cleaning_Log</vt:lpstr>
      <vt:lpstr>Dashboard</vt:lpstr>
      <vt:lpstr>Dashboard_PT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Shanika Ormsby</dc:creator>
  <cp:lastModifiedBy>Shanika Ormsby</cp:lastModifiedBy>
  <dcterms:created xsi:type="dcterms:W3CDTF">2026-05-30T17:01:47Z</dcterms:created>
  <dcterms:modified xsi:type="dcterms:W3CDTF">2026-06-23T18:48:44Z</dcterms:modified>
</cp:coreProperties>
</file>