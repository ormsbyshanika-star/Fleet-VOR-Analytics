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c43681b9a4d9650d/Desktop/"/>
    </mc:Choice>
  </mc:AlternateContent>
  <xr:revisionPtr revIDLastSave="24" documentId="8_{4406F3F4-1931-4BC7-B6EA-0102440F8366}" xr6:coauthVersionLast="47" xr6:coauthVersionMax="47" xr10:uidLastSave="{970E7629-E80B-42C0-847B-ECE09230BC33}"/>
  <bookViews>
    <workbookView xWindow="-120" yWindow="-120" windowWidth="29040" windowHeight="15720" activeTab="1" xr2:uid="{00000000-000D-0000-FFFF-FFFF00000000}"/>
  </bookViews>
  <sheets>
    <sheet name="Fleet_Data" sheetId="1" r:id="rId1"/>
    <sheet name="Cleaned_Data" sheetId="2" r:id="rId2"/>
    <sheet name="Data_Cleaning_Log" sheetId="3" r:id="rId3"/>
    <sheet name="Summary" sheetId="6" r:id="rId4"/>
    <sheet name="Dashboard" sheetId="8" r:id="rId5"/>
    <sheet name="Dashboard_PT" sheetId="9" r:id="rId6"/>
  </sheets>
  <definedNames>
    <definedName name="_xlnm._FilterDatabase" localSheetId="1" hidden="1">Summary!$G$21:$G$21</definedName>
    <definedName name="Slicer_Garage_Name">#N/A</definedName>
    <definedName name="Slicer_Vehicle_Type">#N/A</definedName>
    <definedName name="Slicer_VOR_SLA_Breached?">#N/A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 i="2" l="1"/>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C33" i="8"/>
  <c r="C32" i="8"/>
  <c r="C31" i="8"/>
  <c r="C30" i="8"/>
  <c r="C29" i="8"/>
  <c r="C28" i="8"/>
  <c r="C27" i="8"/>
  <c r="B5" i="8"/>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P3" i="2"/>
  <c r="P4" i="2"/>
  <c r="P7" i="2"/>
  <c r="P8" i="2"/>
  <c r="P9" i="2"/>
  <c r="P10" i="2"/>
  <c r="P11" i="2"/>
  <c r="P12" i="2"/>
  <c r="P14" i="2"/>
  <c r="P17" i="2"/>
  <c r="P18" i="2"/>
  <c r="P20" i="2"/>
  <c r="P23" i="2"/>
  <c r="P24" i="2"/>
  <c r="P25" i="2"/>
  <c r="P26" i="2"/>
  <c r="P28" i="2"/>
  <c r="P32" i="2"/>
  <c r="P34" i="2"/>
  <c r="P35" i="2"/>
  <c r="P36" i="2"/>
  <c r="P38" i="2"/>
  <c r="P39" i="2"/>
  <c r="P40" i="2"/>
  <c r="P41" i="2"/>
  <c r="P42" i="2"/>
  <c r="P43" i="2"/>
  <c r="P44" i="2"/>
  <c r="P46" i="2"/>
  <c r="P47" i="2"/>
  <c r="P48" i="2"/>
  <c r="P49" i="2"/>
  <c r="P50" i="2"/>
  <c r="P51" i="2"/>
  <c r="P52" i="2"/>
  <c r="P53" i="2"/>
  <c r="P54" i="2"/>
  <c r="P57" i="2"/>
  <c r="P58" i="2"/>
  <c r="P60" i="2"/>
  <c r="P61" i="2"/>
  <c r="P62" i="2"/>
  <c r="P63" i="2"/>
  <c r="P64" i="2"/>
  <c r="P65" i="2"/>
  <c r="P67" i="2"/>
  <c r="P68" i="2"/>
  <c r="P69" i="2"/>
  <c r="P70" i="2"/>
  <c r="P72" i="2"/>
  <c r="P74" i="2"/>
  <c r="P75" i="2"/>
  <c r="P76" i="2"/>
  <c r="P78" i="2"/>
  <c r="P80" i="2"/>
  <c r="P82" i="2"/>
  <c r="P84" i="2"/>
  <c r="P85" i="2"/>
  <c r="P87" i="2"/>
  <c r="P89" i="2"/>
  <c r="P93" i="2"/>
  <c r="P94" i="2"/>
  <c r="P98" i="2"/>
  <c r="P100" i="2"/>
  <c r="P101" i="2"/>
  <c r="N2" i="2"/>
  <c r="O2" i="2" s="1"/>
  <c r="N3" i="2"/>
  <c r="O3" i="2" s="1"/>
  <c r="N4" i="2"/>
  <c r="O4" i="2" s="1"/>
  <c r="N5" i="2"/>
  <c r="O5" i="2" s="1"/>
  <c r="N6" i="2"/>
  <c r="O6" i="2" s="1"/>
  <c r="N7" i="2"/>
  <c r="O7" i="2" s="1"/>
  <c r="N8" i="2"/>
  <c r="O8" i="2" s="1"/>
  <c r="N9" i="2"/>
  <c r="O9" i="2" s="1"/>
  <c r="N10" i="2"/>
  <c r="O10" i="2" s="1"/>
  <c r="N11" i="2"/>
  <c r="O11" i="2" s="1"/>
  <c r="N12" i="2"/>
  <c r="O12" i="2" s="1"/>
  <c r="N13" i="2"/>
  <c r="N14" i="2"/>
  <c r="O14" i="2" s="1"/>
  <c r="N15" i="2"/>
  <c r="O15" i="2" s="1"/>
  <c r="N16" i="2"/>
  <c r="O16" i="2" s="1"/>
  <c r="N17" i="2"/>
  <c r="O17" i="2" s="1"/>
  <c r="N18" i="2"/>
  <c r="O18" i="2" s="1"/>
  <c r="N19" i="2"/>
  <c r="O19" i="2" s="1"/>
  <c r="N20" i="2"/>
  <c r="O20" i="2" s="1"/>
  <c r="N21" i="2"/>
  <c r="N22" i="2"/>
  <c r="O22" i="2" s="1"/>
  <c r="N23" i="2"/>
  <c r="O23" i="2" s="1"/>
  <c r="N24" i="2"/>
  <c r="O24" i="2" s="1"/>
  <c r="N25" i="2"/>
  <c r="O25" i="2" s="1"/>
  <c r="N26" i="2"/>
  <c r="O26" i="2" s="1"/>
  <c r="N27" i="2"/>
  <c r="O27" i="2" s="1"/>
  <c r="N28" i="2"/>
  <c r="O28" i="2" s="1"/>
  <c r="N29" i="2"/>
  <c r="N30" i="2"/>
  <c r="O30" i="2" s="1"/>
  <c r="N31" i="2"/>
  <c r="O31" i="2" s="1"/>
  <c r="N32" i="2"/>
  <c r="O32" i="2" s="1"/>
  <c r="N33" i="2"/>
  <c r="O33" i="2" s="1"/>
  <c r="N34" i="2"/>
  <c r="O34" i="2" s="1"/>
  <c r="N35" i="2"/>
  <c r="O35" i="2" s="1"/>
  <c r="N36" i="2"/>
  <c r="O36" i="2" s="1"/>
  <c r="N37" i="2"/>
  <c r="N38" i="2"/>
  <c r="O38" i="2" s="1"/>
  <c r="N39" i="2"/>
  <c r="O39" i="2" s="1"/>
  <c r="N40" i="2"/>
  <c r="O40" i="2" s="1"/>
  <c r="N41" i="2"/>
  <c r="O41" i="2" s="1"/>
  <c r="N42" i="2"/>
  <c r="O42" i="2" s="1"/>
  <c r="N43" i="2"/>
  <c r="O43" i="2" s="1"/>
  <c r="N44" i="2"/>
  <c r="O44" i="2" s="1"/>
  <c r="N45" i="2"/>
  <c r="N46" i="2"/>
  <c r="O46" i="2" s="1"/>
  <c r="N47" i="2"/>
  <c r="O47" i="2" s="1"/>
  <c r="N48" i="2"/>
  <c r="O48" i="2" s="1"/>
  <c r="N49" i="2"/>
  <c r="O49" i="2" s="1"/>
  <c r="N50" i="2"/>
  <c r="O50" i="2" s="1"/>
  <c r="N51" i="2"/>
  <c r="O51" i="2" s="1"/>
  <c r="N52" i="2"/>
  <c r="O52" i="2" s="1"/>
  <c r="N53" i="2"/>
  <c r="O53" i="2" s="1"/>
  <c r="N54" i="2"/>
  <c r="O54" i="2" s="1"/>
  <c r="N55" i="2"/>
  <c r="O55" i="2" s="1"/>
  <c r="N56" i="2"/>
  <c r="O56" i="2" s="1"/>
  <c r="N57" i="2"/>
  <c r="O57" i="2" s="1"/>
  <c r="N58" i="2"/>
  <c r="O58" i="2" s="1"/>
  <c r="N59" i="2"/>
  <c r="O59" i="2" s="1"/>
  <c r="N60" i="2"/>
  <c r="O60" i="2" s="1"/>
  <c r="N61" i="2"/>
  <c r="O61" i="2" s="1"/>
  <c r="N62" i="2"/>
  <c r="O62" i="2" s="1"/>
  <c r="N63" i="2"/>
  <c r="O63" i="2" s="1"/>
  <c r="N64" i="2"/>
  <c r="O64" i="2" s="1"/>
  <c r="N65" i="2"/>
  <c r="O65" i="2" s="1"/>
  <c r="N66" i="2"/>
  <c r="O66" i="2" s="1"/>
  <c r="N67" i="2"/>
  <c r="O67" i="2" s="1"/>
  <c r="N68" i="2"/>
  <c r="O68" i="2" s="1"/>
  <c r="N69" i="2"/>
  <c r="O69" i="2" s="1"/>
  <c r="N70" i="2"/>
  <c r="O70" i="2" s="1"/>
  <c r="N71" i="2"/>
  <c r="O71" i="2" s="1"/>
  <c r="N72" i="2"/>
  <c r="O72" i="2" s="1"/>
  <c r="N73" i="2"/>
  <c r="O73" i="2" s="1"/>
  <c r="N74" i="2"/>
  <c r="O74" i="2" s="1"/>
  <c r="N75" i="2"/>
  <c r="O75" i="2" s="1"/>
  <c r="N76" i="2"/>
  <c r="O76" i="2" s="1"/>
  <c r="N77" i="2"/>
  <c r="N78" i="2"/>
  <c r="O78" i="2" s="1"/>
  <c r="N79" i="2"/>
  <c r="O79" i="2" s="1"/>
  <c r="N80" i="2"/>
  <c r="O80" i="2" s="1"/>
  <c r="N81" i="2"/>
  <c r="O81" i="2" s="1"/>
  <c r="N82" i="2"/>
  <c r="O82" i="2" s="1"/>
  <c r="N83" i="2"/>
  <c r="O83" i="2" s="1"/>
  <c r="N84" i="2"/>
  <c r="O84" i="2" s="1"/>
  <c r="N85" i="2"/>
  <c r="O85" i="2" s="1"/>
  <c r="N86" i="2"/>
  <c r="O86" i="2" s="1"/>
  <c r="N87" i="2"/>
  <c r="O87" i="2" s="1"/>
  <c r="N88" i="2"/>
  <c r="O88" i="2" s="1"/>
  <c r="N89" i="2"/>
  <c r="O89" i="2" s="1"/>
  <c r="N90" i="2"/>
  <c r="O90" i="2" s="1"/>
  <c r="N91" i="2"/>
  <c r="O91" i="2" s="1"/>
  <c r="N92" i="2"/>
  <c r="O92" i="2" s="1"/>
  <c r="N93" i="2"/>
  <c r="O93" i="2" s="1"/>
  <c r="N94" i="2"/>
  <c r="O94" i="2" s="1"/>
  <c r="N95" i="2"/>
  <c r="O95" i="2" s="1"/>
  <c r="N96" i="2"/>
  <c r="O96" i="2" s="1"/>
  <c r="N97" i="2"/>
  <c r="O97" i="2" s="1"/>
  <c r="N98" i="2"/>
  <c r="O98" i="2" s="1"/>
  <c r="N99" i="2"/>
  <c r="O99" i="2" s="1"/>
  <c r="N100" i="2"/>
  <c r="O100" i="2" s="1"/>
  <c r="N101" i="2"/>
  <c r="O101" i="2" s="1"/>
  <c r="M3" i="2"/>
  <c r="M4" i="2"/>
  <c r="M7" i="2"/>
  <c r="M8" i="2"/>
  <c r="M9" i="2"/>
  <c r="M10" i="2"/>
  <c r="M11" i="2"/>
  <c r="M12" i="2"/>
  <c r="M14" i="2"/>
  <c r="M17" i="2"/>
  <c r="M18" i="2"/>
  <c r="M20" i="2"/>
  <c r="M23" i="2"/>
  <c r="M24" i="2"/>
  <c r="M25" i="2"/>
  <c r="M26" i="2"/>
  <c r="M28" i="2"/>
  <c r="M32" i="2"/>
  <c r="M34" i="2"/>
  <c r="M35" i="2"/>
  <c r="M36" i="2"/>
  <c r="M38" i="2"/>
  <c r="M39" i="2"/>
  <c r="M40" i="2"/>
  <c r="M41" i="2"/>
  <c r="M42" i="2"/>
  <c r="M43" i="2"/>
  <c r="M44" i="2"/>
  <c r="M46" i="2"/>
  <c r="M47" i="2"/>
  <c r="M48" i="2"/>
  <c r="M49" i="2"/>
  <c r="M50" i="2"/>
  <c r="M51" i="2"/>
  <c r="M52" i="2"/>
  <c r="M53" i="2"/>
  <c r="M54" i="2"/>
  <c r="M57" i="2"/>
  <c r="M58" i="2"/>
  <c r="M60" i="2"/>
  <c r="M61" i="2"/>
  <c r="M62" i="2"/>
  <c r="M63" i="2"/>
  <c r="M64" i="2"/>
  <c r="M65" i="2"/>
  <c r="M67" i="2"/>
  <c r="M68" i="2"/>
  <c r="M69" i="2"/>
  <c r="M70" i="2"/>
  <c r="M72" i="2"/>
  <c r="M74" i="2"/>
  <c r="M75" i="2"/>
  <c r="M76" i="2"/>
  <c r="M78" i="2"/>
  <c r="M80" i="2"/>
  <c r="M82" i="2"/>
  <c r="M84" i="2"/>
  <c r="M85" i="2"/>
  <c r="M87" i="2"/>
  <c r="M89" i="2"/>
  <c r="M93" i="2"/>
  <c r="M94" i="2"/>
  <c r="M98" i="2"/>
  <c r="M100" i="2"/>
  <c r="M101" i="2"/>
  <c r="L2" i="2"/>
  <c r="M2" i="2" s="1"/>
  <c r="L3" i="2"/>
  <c r="L4" i="2"/>
  <c r="L5" i="2"/>
  <c r="M5" i="2" s="1"/>
  <c r="L6" i="2"/>
  <c r="M6" i="2" s="1"/>
  <c r="L7" i="2"/>
  <c r="L8" i="2"/>
  <c r="L9" i="2"/>
  <c r="L10" i="2"/>
  <c r="L11" i="2"/>
  <c r="L12" i="2"/>
  <c r="L13" i="2"/>
  <c r="M13" i="2" s="1"/>
  <c r="L14" i="2"/>
  <c r="L15" i="2"/>
  <c r="M15" i="2" s="1"/>
  <c r="L16" i="2"/>
  <c r="M16" i="2" s="1"/>
  <c r="L17" i="2"/>
  <c r="L18" i="2"/>
  <c r="L19" i="2"/>
  <c r="M19" i="2" s="1"/>
  <c r="L20" i="2"/>
  <c r="L21" i="2"/>
  <c r="M21" i="2" s="1"/>
  <c r="L22" i="2"/>
  <c r="M22" i="2" s="1"/>
  <c r="L23" i="2"/>
  <c r="L24" i="2"/>
  <c r="L25" i="2"/>
  <c r="L26" i="2"/>
  <c r="L27" i="2"/>
  <c r="M27" i="2" s="1"/>
  <c r="L28" i="2"/>
  <c r="L29" i="2"/>
  <c r="M29" i="2" s="1"/>
  <c r="L30" i="2"/>
  <c r="M30" i="2" s="1"/>
  <c r="L31" i="2"/>
  <c r="M31" i="2" s="1"/>
  <c r="L32" i="2"/>
  <c r="L33" i="2"/>
  <c r="M33" i="2" s="1"/>
  <c r="L34" i="2"/>
  <c r="L35" i="2"/>
  <c r="L36" i="2"/>
  <c r="L37" i="2"/>
  <c r="M37" i="2" s="1"/>
  <c r="L38" i="2"/>
  <c r="L39" i="2"/>
  <c r="L40" i="2"/>
  <c r="L41" i="2"/>
  <c r="L42" i="2"/>
  <c r="L43" i="2"/>
  <c r="L44" i="2"/>
  <c r="L45" i="2"/>
  <c r="M45" i="2" s="1"/>
  <c r="L46" i="2"/>
  <c r="L47" i="2"/>
  <c r="L48" i="2"/>
  <c r="L49" i="2"/>
  <c r="L50" i="2"/>
  <c r="L51" i="2"/>
  <c r="L52" i="2"/>
  <c r="L53" i="2"/>
  <c r="L54" i="2"/>
  <c r="L55" i="2"/>
  <c r="M55" i="2" s="1"/>
  <c r="L56" i="2"/>
  <c r="M56" i="2" s="1"/>
  <c r="L57" i="2"/>
  <c r="L58" i="2"/>
  <c r="L59" i="2"/>
  <c r="M59" i="2" s="1"/>
  <c r="L60" i="2"/>
  <c r="L61" i="2"/>
  <c r="L62" i="2"/>
  <c r="L63" i="2"/>
  <c r="L64" i="2"/>
  <c r="L65" i="2"/>
  <c r="L66" i="2"/>
  <c r="M66" i="2" s="1"/>
  <c r="L67" i="2"/>
  <c r="L68" i="2"/>
  <c r="L69" i="2"/>
  <c r="L70" i="2"/>
  <c r="L71" i="2"/>
  <c r="M71" i="2" s="1"/>
  <c r="L72" i="2"/>
  <c r="L73" i="2"/>
  <c r="M73" i="2" s="1"/>
  <c r="L74" i="2"/>
  <c r="L75" i="2"/>
  <c r="L76" i="2"/>
  <c r="L77" i="2"/>
  <c r="M77" i="2" s="1"/>
  <c r="L78" i="2"/>
  <c r="L79" i="2"/>
  <c r="M79" i="2" s="1"/>
  <c r="L80" i="2"/>
  <c r="L81" i="2"/>
  <c r="M81" i="2" s="1"/>
  <c r="L82" i="2"/>
  <c r="L83" i="2"/>
  <c r="M83" i="2" s="1"/>
  <c r="L84" i="2"/>
  <c r="L85" i="2"/>
  <c r="L86" i="2"/>
  <c r="M86" i="2" s="1"/>
  <c r="L87" i="2"/>
  <c r="L88" i="2"/>
  <c r="M88" i="2" s="1"/>
  <c r="L89" i="2"/>
  <c r="L90" i="2"/>
  <c r="M90" i="2" s="1"/>
  <c r="L91" i="2"/>
  <c r="M91" i="2" s="1"/>
  <c r="L92" i="2"/>
  <c r="M92" i="2" s="1"/>
  <c r="L93" i="2"/>
  <c r="L94" i="2"/>
  <c r="L95" i="2"/>
  <c r="M95" i="2" s="1"/>
  <c r="L96" i="2"/>
  <c r="M96" i="2" s="1"/>
  <c r="L97" i="2"/>
  <c r="M97" i="2" s="1"/>
  <c r="L98" i="2"/>
  <c r="L99" i="2"/>
  <c r="M99" i="2" s="1"/>
  <c r="L100" i="2"/>
  <c r="L101" i="2"/>
  <c r="F17" i="6"/>
  <c r="E17" i="6"/>
  <c r="F16" i="6"/>
  <c r="E16" i="6"/>
  <c r="J102" i="2" l="1"/>
  <c r="E24" i="6"/>
  <c r="T12" i="2"/>
  <c r="T10" i="2"/>
  <c r="E23" i="6"/>
  <c r="E27" i="6"/>
  <c r="E26" i="6"/>
  <c r="E25" i="6"/>
  <c r="T1" i="2"/>
  <c r="J5" i="8"/>
  <c r="D5" i="8"/>
  <c r="G10" i="8"/>
  <c r="G18" i="8"/>
  <c r="G11" i="8"/>
  <c r="G12" i="8"/>
  <c r="G13" i="8"/>
  <c r="L5" i="8"/>
  <c r="G14" i="8"/>
  <c r="G15" i="8"/>
  <c r="G16" i="8"/>
  <c r="G9" i="8"/>
  <c r="G17" i="8"/>
  <c r="F11" i="6"/>
  <c r="H29" i="6"/>
  <c r="H30" i="6"/>
  <c r="H31" i="6"/>
  <c r="H32" i="6"/>
  <c r="H26" i="6"/>
  <c r="H25" i="6"/>
  <c r="E15" i="6"/>
  <c r="H27" i="6"/>
  <c r="F15" i="6"/>
  <c r="H33" i="6"/>
  <c r="E29" i="6"/>
  <c r="E11" i="6"/>
  <c r="H24" i="6"/>
  <c r="H28" i="6"/>
  <c r="P77" i="2"/>
  <c r="P45" i="2"/>
  <c r="P37" i="2"/>
  <c r="P29" i="2"/>
  <c r="P21" i="2"/>
  <c r="P13" i="2"/>
  <c r="P88" i="2"/>
  <c r="O77" i="2"/>
  <c r="O45" i="2"/>
  <c r="O37" i="2"/>
  <c r="O29" i="2"/>
  <c r="O21" i="2"/>
  <c r="O13" i="2"/>
  <c r="P97" i="2"/>
  <c r="P81" i="2"/>
  <c r="P73" i="2"/>
  <c r="P33" i="2"/>
  <c r="P16" i="2"/>
  <c r="P95" i="2"/>
  <c r="P79" i="2"/>
  <c r="P71" i="2"/>
  <c r="P55" i="2"/>
  <c r="P31" i="2"/>
  <c r="P15" i="2"/>
  <c r="P86" i="2"/>
  <c r="P30" i="2"/>
  <c r="P22" i="2"/>
  <c r="P6" i="2"/>
  <c r="P5" i="2"/>
  <c r="P96" i="2"/>
  <c r="P56" i="2"/>
  <c r="P92" i="2"/>
  <c r="P99" i="2"/>
  <c r="P91" i="2"/>
  <c r="P83" i="2"/>
  <c r="P59" i="2"/>
  <c r="P27" i="2"/>
  <c r="P19" i="2"/>
  <c r="P90" i="2"/>
  <c r="P66" i="2"/>
  <c r="P2" i="2"/>
  <c r="C10" i="8" l="1"/>
  <c r="H5" i="8"/>
  <c r="F5" i="8"/>
  <c r="C9" i="8"/>
  <c r="E28" i="6"/>
</calcChain>
</file>

<file path=xl/sharedStrings.xml><?xml version="1.0" encoding="utf-8"?>
<sst xmlns="http://schemas.openxmlformats.org/spreadsheetml/2006/main" count="1353" uniqueCount="224">
  <si>
    <t>Vehicle_ID</t>
  </si>
  <si>
    <t>Vehicle_Type</t>
  </si>
  <si>
    <t>Make_Model</t>
  </si>
  <si>
    <t>Defect_Reported_DateTime</t>
  </si>
  <si>
    <t>Garage_Booked_DateTime</t>
  </si>
  <si>
    <t>Garage_In_Date</t>
  </si>
  <si>
    <t>Garage_Out_Date</t>
  </si>
  <si>
    <t>MOT_Linked</t>
  </si>
  <si>
    <t>Repeated_Defect_Last_30_Days</t>
  </si>
  <si>
    <t>Garage_Name</t>
  </si>
  <si>
    <t>Actual_Repair_Start_Date</t>
  </si>
  <si>
    <t>Estimated_Completion_Date</t>
  </si>
  <si>
    <t>Primary_Delay_Reason</t>
  </si>
  <si>
    <t>VH1000</t>
  </si>
  <si>
    <t>Specialised</t>
  </si>
  <si>
    <t>Ford Transit</t>
  </si>
  <si>
    <t>Yes</t>
  </si>
  <si>
    <t>No</t>
  </si>
  <si>
    <t>Joey Special Auto Centre</t>
  </si>
  <si>
    <t>None (On Time)</t>
  </si>
  <si>
    <t>VH1001</t>
  </si>
  <si>
    <t>Standard</t>
  </si>
  <si>
    <t>Vauxhall Vivaro</t>
  </si>
  <si>
    <t>Geller Repair Shop</t>
  </si>
  <si>
    <t>Recovery Delivery Failure</t>
  </si>
  <si>
    <t>VH1002</t>
  </si>
  <si>
    <t>Mercedes Atego</t>
  </si>
  <si>
    <t>Central Perk Repairs</t>
  </si>
  <si>
    <t>Garage Capacity / Ramp Delay</t>
  </si>
  <si>
    <t>VH1003</t>
  </si>
  <si>
    <t>Iveco Daily</t>
  </si>
  <si>
    <t>15 Yemen Rd Garage</t>
  </si>
  <si>
    <t>VH1004</t>
  </si>
  <si>
    <t>Awaiting Client Authorization</t>
  </si>
  <si>
    <t>VH1005</t>
  </si>
  <si>
    <t>Princess Consuela Auto Centre</t>
  </si>
  <si>
    <t>Parts on Backorder</t>
  </si>
  <si>
    <t>VH1006</t>
  </si>
  <si>
    <t>PIVOT Garage Repairs</t>
  </si>
  <si>
    <t>Incorrect Defect Diagnosis</t>
  </si>
  <si>
    <t>VH1007</t>
  </si>
  <si>
    <t>VH1008</t>
  </si>
  <si>
    <t>Vauxhall Movano</t>
  </si>
  <si>
    <t>VH1009</t>
  </si>
  <si>
    <t>Dr Drake Ramoray Autos</t>
  </si>
  <si>
    <t>VH1010</t>
  </si>
  <si>
    <t>VH1011</t>
  </si>
  <si>
    <t>VH1012</t>
  </si>
  <si>
    <t>Mississippilessly Repairs</t>
  </si>
  <si>
    <t>VH1013</t>
  </si>
  <si>
    <t>VH1014</t>
  </si>
  <si>
    <t>VH1015</t>
  </si>
  <si>
    <t>VH1016</t>
  </si>
  <si>
    <t>VH1017</t>
  </si>
  <si>
    <t>Unknown</t>
  </si>
  <si>
    <t>VH1018</t>
  </si>
  <si>
    <t>VH1019</t>
  </si>
  <si>
    <t>VH1020</t>
  </si>
  <si>
    <t>VH1021</t>
  </si>
  <si>
    <t>VH1022</t>
  </si>
  <si>
    <t>VH1023</t>
  </si>
  <si>
    <t>VH1024</t>
  </si>
  <si>
    <t>VH1025</t>
  </si>
  <si>
    <t>VH1026</t>
  </si>
  <si>
    <t>Renault Sprinter</t>
  </si>
  <si>
    <t>VH1027</t>
  </si>
  <si>
    <t>VH1028</t>
  </si>
  <si>
    <t>VH1029</t>
  </si>
  <si>
    <t>VH1030</t>
  </si>
  <si>
    <t>VH1031</t>
  </si>
  <si>
    <t>VH1032</t>
  </si>
  <si>
    <t>VH1033</t>
  </si>
  <si>
    <t>VH1034</t>
  </si>
  <si>
    <t>VH1035</t>
  </si>
  <si>
    <t>VH1036</t>
  </si>
  <si>
    <t>VH1037</t>
  </si>
  <si>
    <t>VH1038</t>
  </si>
  <si>
    <t>VH1039</t>
  </si>
  <si>
    <t>VH1040</t>
  </si>
  <si>
    <t>VH1041</t>
  </si>
  <si>
    <t>VH1042</t>
  </si>
  <si>
    <t>VH1043</t>
  </si>
  <si>
    <t>VH1044</t>
  </si>
  <si>
    <t>15 Yemen Road Garage</t>
  </si>
  <si>
    <t>VH1045</t>
  </si>
  <si>
    <t>VH1046</t>
  </si>
  <si>
    <t>Miss Chanandler Bong Garage</t>
  </si>
  <si>
    <t>VH1047</t>
  </si>
  <si>
    <t>VH1048</t>
  </si>
  <si>
    <t>Rachel Greep Workshop</t>
  </si>
  <si>
    <t>VH1049</t>
  </si>
  <si>
    <t>VH1050</t>
  </si>
  <si>
    <t>VH1051</t>
  </si>
  <si>
    <t>VH1052</t>
  </si>
  <si>
    <t>VH1053</t>
  </si>
  <si>
    <t>VH1054</t>
  </si>
  <si>
    <t>VH1055</t>
  </si>
  <si>
    <t>VH1056</t>
  </si>
  <si>
    <t>VH1057</t>
  </si>
  <si>
    <t>VH1058</t>
  </si>
  <si>
    <t>VH1059</t>
  </si>
  <si>
    <t>VH1060</t>
  </si>
  <si>
    <t>VH1061</t>
  </si>
  <si>
    <t>VH1062</t>
  </si>
  <si>
    <t>VH1063</t>
  </si>
  <si>
    <t>VH1064</t>
  </si>
  <si>
    <t>VH1065</t>
  </si>
  <si>
    <t>VH1066</t>
  </si>
  <si>
    <t>Ctrl Perk Repairs</t>
  </si>
  <si>
    <t>VH1067</t>
  </si>
  <si>
    <t>VH1068</t>
  </si>
  <si>
    <t>VH1069</t>
  </si>
  <si>
    <t>VH1070</t>
  </si>
  <si>
    <t>VH1071</t>
  </si>
  <si>
    <t>VH1072</t>
  </si>
  <si>
    <t>VH1073</t>
  </si>
  <si>
    <t>VH1074</t>
  </si>
  <si>
    <t>VH1075</t>
  </si>
  <si>
    <t>VH1076</t>
  </si>
  <si>
    <t>VH1077</t>
  </si>
  <si>
    <t>VH1078</t>
  </si>
  <si>
    <t>VH1079</t>
  </si>
  <si>
    <t>VH1080</t>
  </si>
  <si>
    <t>VH1081</t>
  </si>
  <si>
    <t>VH1082</t>
  </si>
  <si>
    <t>VH1083</t>
  </si>
  <si>
    <t>VH1084</t>
  </si>
  <si>
    <t>VH1085</t>
  </si>
  <si>
    <t>VH1086</t>
  </si>
  <si>
    <t>VH1087</t>
  </si>
  <si>
    <t>VH1088</t>
  </si>
  <si>
    <t>VH1089</t>
  </si>
  <si>
    <t>VH1090</t>
  </si>
  <si>
    <t>VH1091</t>
  </si>
  <si>
    <t>VH1092</t>
  </si>
  <si>
    <t>VH1093</t>
  </si>
  <si>
    <t>VH1094</t>
  </si>
  <si>
    <t>VH1095</t>
  </si>
  <si>
    <t>VH1096</t>
  </si>
  <si>
    <t>VH1097</t>
  </si>
  <si>
    <t>VH1098</t>
  </si>
  <si>
    <t>VH1099</t>
  </si>
  <si>
    <t>Hours_To_Book</t>
  </si>
  <si>
    <t>Total_VOR_Days</t>
  </si>
  <si>
    <t>Issues</t>
  </si>
  <si>
    <t>Actions Taken</t>
  </si>
  <si>
    <t>Columns imported as General format</t>
  </si>
  <si>
    <t>Updated date/time fields to Date/Time, ID fields to Text, numeric fields to Number</t>
  </si>
  <si>
    <t>Inconsistent garage name spelling</t>
  </si>
  <si>
    <t>Standardise garage names, e.g Ctrl Perk Repairs changed to Central perk Repairs</t>
  </si>
  <si>
    <t>1 Missing Garage_In_Date for Vehicle_ID VH1017</t>
  </si>
  <si>
    <t>Excluded from VOR garage turnaround and repair lead time analysis as vehicle arrival date could not be verified</t>
  </si>
  <si>
    <t>1 Missing confirmation as to whether VOR days were a result of a defect found during the MOT Test for  Vehicle_ID VH1027</t>
  </si>
  <si>
    <t>Verified from repair records and MOT history</t>
  </si>
  <si>
    <t>2 Missing Repeated_Defect_Last_30_Days value for Vehicle_ID VH1097 and VH1032</t>
  </si>
  <si>
    <t>Checked repair history and updated records</t>
  </si>
  <si>
    <t>1 Missing Vehicle_Type for Vehicle_ID VH1022</t>
  </si>
  <si>
    <t>Verified using Vehicle_ID and updated record</t>
  </si>
  <si>
    <t>Column1</t>
  </si>
  <si>
    <t>FLEET OPERATIONS AND SLA PERFORMANCE SUMMARY</t>
  </si>
  <si>
    <t>Metric</t>
  </si>
  <si>
    <t>Specialised Vehicles</t>
  </si>
  <si>
    <t>Standard Vehicles</t>
  </si>
  <si>
    <t>The Average Miss:</t>
  </si>
  <si>
    <t>Target SLA</t>
  </si>
  <si>
    <t>48 Hours</t>
  </si>
  <si>
    <t>No strict target</t>
  </si>
  <si>
    <t>The Baseline: On average, vehicles are staying in the garage half a day longer (4 days) than the company's goal (3.5 days) by half a day.</t>
  </si>
  <si>
    <t>Average hours to book</t>
  </si>
  <si>
    <t>Booking SLA Compliance</t>
  </si>
  <si>
    <t>N/A</t>
  </si>
  <si>
    <t>Booking SLA Breach Rate</t>
  </si>
  <si>
    <t>The Variation (Standard Deviation of 2):</t>
  </si>
  <si>
    <t>VOR Targert SLA</t>
  </si>
  <si>
    <t>The dataset shows a Standard Deviation of 2 days. Mathematically, this tells us that the majority of vehicle repairs fluctuate wildly between 2 and 6 days( Mean +/- SD).</t>
  </si>
  <si>
    <t>Average VOR Days</t>
  </si>
  <si>
    <t>VOR SLA Compliance</t>
  </si>
  <si>
    <t>Operational Impact:</t>
  </si>
  <si>
    <t>VOR SLA Breach</t>
  </si>
  <si>
    <t xml:space="preserve">This extreme lack of predictability creates severe planning challenges for the bookings team. Frontline tracking indicates that this variation is heavily driven by </t>
  </si>
  <si>
    <t>Incorrect Job Scoping</t>
  </si>
  <si>
    <t>Booking_SLA_Breached?</t>
  </si>
  <si>
    <t>VOR_SLA_Breached?</t>
  </si>
  <si>
    <t>Specialist_Priority_Effectiveness</t>
  </si>
  <si>
    <t>Unknown / Insufficient Data</t>
  </si>
  <si>
    <t>Hours_To_Start_Repair</t>
  </si>
  <si>
    <t>Repair Start Delay Analysis</t>
  </si>
  <si>
    <t>Value</t>
  </si>
  <si>
    <t>Average Hours to Start Repair</t>
  </si>
  <si>
    <t>Vehicles with Delayed Start (&gt;0 hours)</t>
  </si>
  <si>
    <t>Vehicles Starting Same Time or Before</t>
  </si>
  <si>
    <t>Vehicles with N/A Data</t>
  </si>
  <si>
    <t>Total Valid Records</t>
  </si>
  <si>
    <t>% Vehicles with Delayed Start</t>
  </si>
  <si>
    <t>Average Delay (Days)</t>
  </si>
  <si>
    <t>Garage Delay Analysis (Avg Hours to Start Repair)</t>
  </si>
  <si>
    <t>Garage Name</t>
  </si>
  <si>
    <t>Avg Hours to Start</t>
  </si>
  <si>
    <t>This analysis measures downtime from Garage_In_Date t0 Garage_Out_Date. It does not capture pre-garage downtime between defect report, booking, recovert, or vehicle arrival. Future analysis would eequiren additional fields such as VOR_Start_Date, Recovery_Booked_Date, and Vehicle_Arrival_Status.</t>
  </si>
  <si>
    <t>FLEET MANAGEMENT DASHBOARD</t>
  </si>
  <si>
    <t>Total Vehicles</t>
  </si>
  <si>
    <t>Avg VOR Days</t>
  </si>
  <si>
    <t>Booking SLA Breach</t>
  </si>
  <si>
    <t>Avg Hours to Book</t>
  </si>
  <si>
    <t>VOR SLA Status</t>
  </si>
  <si>
    <t>Count</t>
  </si>
  <si>
    <t>Compliant (≤3.5 days)</t>
  </si>
  <si>
    <t>Breach (&gt;3.5 days)</t>
  </si>
  <si>
    <t>Delay Reason</t>
  </si>
  <si>
    <t>FLEET MANAGEMENT DASHBOARD (PivotTable Version)</t>
  </si>
  <si>
    <t>Row Labels</t>
  </si>
  <si>
    <t>Grand Total</t>
  </si>
  <si>
    <t>Count of Vehicle_ID</t>
  </si>
  <si>
    <t>Average of Total_VOR_Days</t>
  </si>
  <si>
    <t>Average of Hours_To_Book</t>
  </si>
  <si>
    <t>Avg VOR Days by Garage</t>
  </si>
  <si>
    <t>Delay Reasons Breakdown</t>
  </si>
  <si>
    <t>KPI Summary</t>
  </si>
  <si>
    <t>VOR SLA Breached?</t>
  </si>
  <si>
    <t>Count of Total_VOR_Days</t>
  </si>
  <si>
    <t>VOR by Make / Model</t>
  </si>
  <si>
    <t>MOT_Linked (XLOOKUP)</t>
  </si>
  <si>
    <t>Renault Master</t>
  </si>
  <si>
    <t>Avg VOR (Parts on Backorder)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</si>
</sst>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
    <numFmt numFmtId="165" formatCode="0.0"/>
    <numFmt numFmtId="166" formatCode="0.0%"/>
  </numFmts>
  <fonts count="12">
    <font>
      <sz val="11"/>
      <name val="Carlito"/>
    </font>
    <font>
      <b/>
      <sz val="11"/>
      <color rgb="FFFFFFFF"/>
      <name val="Carlito"/>
    </font>
    <font>
      <b/>
      <sz val="11"/>
      <name val="Carlito"/>
    </font>
    <font>
      <b/>
      <sz val="16"/>
      <name val="Carlito"/>
    </font>
    <font>
      <b/>
      <sz val="11"/>
      <color rgb="FFFFFFFF"/>
      <name val="Carlito"/>
    </font>
    <font>
      <sz val="11"/>
      <color theme="1"/>
      <name val="Carlito"/>
    </font>
    <font>
      <b/>
      <sz val="11"/>
      <color theme="1"/>
      <name val="Carlito"/>
    </font>
    <font>
      <sz val="8"/>
      <name val="Carlito"/>
    </font>
    <font>
      <b/>
      <sz val="18"/>
      <name val="Carlito"/>
    </font>
    <font>
      <b/>
      <sz val="10"/>
      <color rgb="FF666666"/>
      <name val="Carlito"/>
    </font>
    <font>
      <b/>
      <sz val="24"/>
      <name val="Carlito"/>
    </font>
    <font>
      <sz val="11"/>
      <color rgb="FFD6D6D6"/>
      <name val="Courier New"/>
      <family val="3"/>
    </font>
  </fonts>
  <fills count="13">
    <fill>
      <patternFill patternType="none"/>
    </fill>
    <fill>
      <patternFill patternType="gray125"/>
    </fill>
    <fill>
      <patternFill patternType="solid">
        <fgColor theme="6" tint="0.79998168889431442"/>
        <bgColor indexed="64"/>
      </patternFill>
    </fill>
    <fill>
      <patternFill patternType="solid">
        <fgColor theme="7" tint="0.79998168889431442"/>
        <bgColor indexed="64"/>
      </patternFill>
    </fill>
    <fill>
      <patternFill patternType="solid">
        <fgColor rgb="FF0F766E"/>
      </patternFill>
    </fill>
    <fill>
      <patternFill patternType="solid">
        <fgColor theme="4" tint="0.79998168889431442"/>
        <bgColor theme="4" tint="0.79998168889431442"/>
      </patternFill>
    </fill>
    <fill>
      <patternFill patternType="solid">
        <fgColor rgb="FF0F766E"/>
        <bgColor indexed="64"/>
      </patternFill>
    </fill>
    <fill>
      <patternFill patternType="solid">
        <fgColor rgb="FFE8F4FD"/>
        <bgColor indexed="64"/>
      </patternFill>
    </fill>
    <fill>
      <patternFill patternType="solid">
        <fgColor rgb="FFFFF3E0"/>
        <bgColor indexed="64"/>
      </patternFill>
    </fill>
    <fill>
      <patternFill patternType="solid">
        <fgColor rgb="FFE8F5E9"/>
        <bgColor indexed="64"/>
      </patternFill>
    </fill>
    <fill>
      <patternFill patternType="solid">
        <fgColor rgb="FFFFEBEE"/>
        <bgColor indexed="64"/>
      </patternFill>
    </fill>
    <fill>
      <patternFill patternType="solid">
        <fgColor rgb="FFFFF8E1"/>
        <bgColor indexed="64"/>
      </patternFill>
    </fill>
    <fill>
      <patternFill patternType="solid">
        <fgColor rgb="FFF3E5F5"/>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right/>
      <top style="double">
        <color theme="4"/>
      </top>
      <bottom style="thin">
        <color theme="4" tint="0.39997558519241921"/>
      </bottom>
      <diagonal/>
    </border>
    <border>
      <left/>
      <right style="thin">
        <color theme="4" tint="0.39997558519241921"/>
      </right>
      <top style="double">
        <color theme="4"/>
      </top>
      <bottom style="thin">
        <color theme="4" tint="0.39997558519241921"/>
      </bottom>
      <diagonal/>
    </border>
    <border>
      <left style="thin">
        <color theme="4" tint="0.39997558519241921"/>
      </left>
      <right/>
      <top/>
      <bottom/>
      <diagonal/>
    </border>
    <border>
      <left/>
      <right style="thin">
        <color theme="4" tint="0.3999755851924192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rgb="FF666666"/>
      </left>
      <right style="medium">
        <color rgb="FF666666"/>
      </right>
      <top style="medium">
        <color rgb="FF666666"/>
      </top>
      <bottom style="medium">
        <color rgb="FF666666"/>
      </bottom>
      <diagonal/>
    </border>
  </borders>
  <cellStyleXfs count="1">
    <xf numFmtId="0" fontId="0" fillId="0" borderId="0"/>
  </cellStyleXfs>
  <cellXfs count="91">
    <xf numFmtId="0" fontId="0" fillId="0" borderId="0" xfId="0"/>
    <xf numFmtId="164" fontId="0" fillId="0" borderId="0" xfId="0" applyNumberFormat="1"/>
    <xf numFmtId="0" fontId="2" fillId="0" borderId="0" xfId="0" applyFont="1"/>
    <xf numFmtId="14" fontId="0" fillId="0" borderId="0" xfId="0" applyNumberFormat="1"/>
    <xf numFmtId="2" fontId="0" fillId="0" borderId="0" xfId="0" applyNumberFormat="1"/>
    <xf numFmtId="49" fontId="0" fillId="0" borderId="0" xfId="0" applyNumberFormat="1"/>
    <xf numFmtId="49" fontId="0" fillId="0" borderId="0" xfId="0" applyNumberFormat="1" applyAlignment="1">
      <alignment horizontal="center"/>
    </xf>
    <xf numFmtId="2" fontId="0" fillId="0" borderId="0" xfId="0" applyNumberFormat="1" applyAlignment="1">
      <alignment horizontal="center"/>
    </xf>
    <xf numFmtId="0" fontId="0" fillId="2" borderId="0" xfId="0" applyFill="1"/>
    <xf numFmtId="14" fontId="0" fillId="0" borderId="0" xfId="0" applyNumberFormat="1" applyAlignment="1">
      <alignment horizontal="center"/>
    </xf>
    <xf numFmtId="0" fontId="2" fillId="3" borderId="0" xfId="0" applyFont="1" applyFill="1" applyAlignment="1">
      <alignment wrapText="1"/>
    </xf>
    <xf numFmtId="0" fontId="0" fillId="3" borderId="0" xfId="0" applyFill="1" applyAlignment="1">
      <alignment wrapText="1"/>
    </xf>
    <xf numFmtId="0" fontId="0" fillId="3" borderId="0" xfId="0" applyFill="1"/>
    <xf numFmtId="0" fontId="2" fillId="3" borderId="0" xfId="0" applyFont="1" applyFill="1"/>
    <xf numFmtId="0" fontId="2" fillId="3" borderId="1" xfId="0" applyFont="1" applyFill="1" applyBorder="1"/>
    <xf numFmtId="0" fontId="2" fillId="3" borderId="1" xfId="0" applyFont="1" applyFill="1" applyBorder="1" applyAlignment="1">
      <alignment wrapText="1"/>
    </xf>
    <xf numFmtId="165" fontId="2" fillId="3" borderId="1" xfId="0" applyNumberFormat="1" applyFont="1" applyFill="1" applyBorder="1"/>
    <xf numFmtId="0" fontId="4" fillId="4" borderId="0" xfId="0" applyFont="1" applyFill="1" applyAlignment="1">
      <alignment horizontal="center" vertical="center" wrapText="1"/>
    </xf>
    <xf numFmtId="0" fontId="3" fillId="0" borderId="0" xfId="0" applyFont="1" applyAlignment="1">
      <alignment horizontal="center"/>
    </xf>
    <xf numFmtId="0" fontId="1" fillId="4" borderId="3" xfId="0" applyFont="1" applyFill="1" applyBorder="1" applyAlignment="1">
      <alignment horizontal="center" vertical="center" wrapText="1"/>
    </xf>
    <xf numFmtId="164" fontId="1" fillId="4" borderId="3" xfId="0" applyNumberFormat="1" applyFont="1" applyFill="1" applyBorder="1" applyAlignment="1">
      <alignment horizontal="center" vertical="center" wrapText="1"/>
    </xf>
    <xf numFmtId="0" fontId="1" fillId="4" borderId="4" xfId="0" applyFont="1" applyFill="1" applyBorder="1" applyAlignment="1">
      <alignment horizontal="center" vertical="center" wrapText="1"/>
    </xf>
    <xf numFmtId="0" fontId="5" fillId="5" borderId="3" xfId="0" applyFont="1" applyFill="1" applyBorder="1" applyAlignment="1">
      <alignment wrapText="1"/>
    </xf>
    <xf numFmtId="164" fontId="5" fillId="5" borderId="3" xfId="0" applyNumberFormat="1" applyFont="1" applyFill="1" applyBorder="1" applyAlignment="1">
      <alignment wrapText="1"/>
    </xf>
    <xf numFmtId="0" fontId="5" fillId="5" borderId="4" xfId="0" applyFont="1" applyFill="1" applyBorder="1" applyAlignment="1">
      <alignment wrapText="1"/>
    </xf>
    <xf numFmtId="0" fontId="5" fillId="0" borderId="3" xfId="0" applyFont="1" applyBorder="1" applyAlignment="1">
      <alignment wrapText="1"/>
    </xf>
    <xf numFmtId="164" fontId="5" fillId="0" borderId="3" xfId="0" applyNumberFormat="1" applyFont="1" applyBorder="1" applyAlignment="1">
      <alignment wrapText="1"/>
    </xf>
    <xf numFmtId="0" fontId="5" fillId="0" borderId="4" xfId="0" applyFont="1" applyBorder="1" applyAlignment="1">
      <alignment wrapText="1"/>
    </xf>
    <xf numFmtId="0" fontId="6" fillId="0" borderId="5" xfId="0" applyFont="1" applyBorder="1"/>
    <xf numFmtId="164" fontId="6" fillId="0" borderId="5" xfId="0" applyNumberFormat="1" applyFont="1" applyBorder="1"/>
    <xf numFmtId="0" fontId="6" fillId="0" borderId="6" xfId="0" applyFont="1" applyBorder="1"/>
    <xf numFmtId="49" fontId="5" fillId="5" borderId="2" xfId="0" applyNumberFormat="1" applyFont="1" applyFill="1" applyBorder="1" applyAlignment="1">
      <alignment horizontal="center" wrapText="1"/>
    </xf>
    <xf numFmtId="49" fontId="5" fillId="5" borderId="3" xfId="0" applyNumberFormat="1" applyFont="1" applyFill="1" applyBorder="1" applyAlignment="1">
      <alignment wrapText="1"/>
    </xf>
    <xf numFmtId="2" fontId="5" fillId="5" borderId="3" xfId="0" applyNumberFormat="1" applyFont="1" applyFill="1" applyBorder="1" applyAlignment="1">
      <alignment horizontal="center" wrapText="1"/>
    </xf>
    <xf numFmtId="14" fontId="5" fillId="5" borderId="3" xfId="0" applyNumberFormat="1" applyFont="1" applyFill="1" applyBorder="1" applyAlignment="1">
      <alignment wrapText="1"/>
    </xf>
    <xf numFmtId="0" fontId="5" fillId="5" borderId="3" xfId="0" applyFont="1" applyFill="1" applyBorder="1" applyAlignment="1">
      <alignment horizontal="center" wrapText="1"/>
    </xf>
    <xf numFmtId="49" fontId="5" fillId="5" borderId="4" xfId="0" applyNumberFormat="1" applyFont="1" applyFill="1" applyBorder="1" applyAlignment="1">
      <alignment wrapText="1"/>
    </xf>
    <xf numFmtId="49" fontId="5" fillId="0" borderId="2" xfId="0" applyNumberFormat="1" applyFont="1" applyBorder="1" applyAlignment="1">
      <alignment horizontal="center" wrapText="1"/>
    </xf>
    <xf numFmtId="49" fontId="5" fillId="0" borderId="3" xfId="0" applyNumberFormat="1" applyFont="1" applyBorder="1" applyAlignment="1">
      <alignment wrapText="1"/>
    </xf>
    <xf numFmtId="2" fontId="5" fillId="0" borderId="3" xfId="0" applyNumberFormat="1" applyFont="1" applyBorder="1" applyAlignment="1">
      <alignment horizontal="center" wrapText="1"/>
    </xf>
    <xf numFmtId="14" fontId="5" fillId="0" borderId="3" xfId="0" applyNumberFormat="1" applyFont="1" applyBorder="1" applyAlignment="1">
      <alignment wrapText="1"/>
    </xf>
    <xf numFmtId="0" fontId="5" fillId="0" borderId="3" xfId="0" applyFont="1" applyBorder="1" applyAlignment="1">
      <alignment horizontal="center" wrapText="1"/>
    </xf>
    <xf numFmtId="49" fontId="5" fillId="0" borderId="4" xfId="0" applyNumberFormat="1" applyFont="1" applyBorder="1" applyAlignment="1">
      <alignment wrapText="1"/>
    </xf>
    <xf numFmtId="14" fontId="1" fillId="6" borderId="0" xfId="0" applyNumberFormat="1" applyFont="1" applyFill="1" applyAlignment="1">
      <alignment horizontal="center" vertical="center" wrapText="1"/>
    </xf>
    <xf numFmtId="49" fontId="5" fillId="5" borderId="0" xfId="0" applyNumberFormat="1" applyFont="1" applyFill="1" applyAlignment="1">
      <alignment wrapText="1"/>
    </xf>
    <xf numFmtId="14" fontId="5" fillId="5" borderId="0" xfId="0" applyNumberFormat="1" applyFont="1" applyFill="1" applyAlignment="1">
      <alignment wrapText="1"/>
    </xf>
    <xf numFmtId="49" fontId="5" fillId="5" borderId="8" xfId="0" applyNumberFormat="1" applyFont="1" applyFill="1" applyBorder="1" applyAlignment="1">
      <alignment wrapText="1"/>
    </xf>
    <xf numFmtId="14" fontId="1" fillId="6" borderId="8" xfId="0" applyNumberFormat="1" applyFont="1" applyFill="1" applyBorder="1" applyAlignment="1">
      <alignment horizontal="center" vertical="center" wrapText="1"/>
    </xf>
    <xf numFmtId="2" fontId="5" fillId="5" borderId="0" xfId="0" applyNumberFormat="1" applyFont="1" applyFill="1" applyAlignment="1">
      <alignment horizontal="center" wrapText="1"/>
    </xf>
    <xf numFmtId="0" fontId="5" fillId="5" borderId="0" xfId="0" applyFont="1" applyFill="1" applyAlignment="1">
      <alignment horizontal="center" wrapText="1"/>
    </xf>
    <xf numFmtId="49" fontId="5" fillId="5" borderId="7" xfId="0" applyNumberFormat="1" applyFont="1" applyFill="1" applyBorder="1" applyAlignment="1">
      <alignment horizontal="center" wrapText="1"/>
    </xf>
    <xf numFmtId="164" fontId="1" fillId="6" borderId="0" xfId="0" applyNumberFormat="1" applyFont="1" applyFill="1" applyAlignment="1">
      <alignment horizontal="center" vertical="center" wrapText="1"/>
    </xf>
    <xf numFmtId="164" fontId="5" fillId="5" borderId="0" xfId="0" applyNumberFormat="1" applyFont="1" applyFill="1" applyAlignment="1">
      <alignment wrapText="1"/>
    </xf>
    <xf numFmtId="0" fontId="5" fillId="0" borderId="0" xfId="0" applyFont="1" applyAlignment="1">
      <alignment horizontal="center" wrapText="1"/>
    </xf>
    <xf numFmtId="49" fontId="0" fillId="3" borderId="0" xfId="0" applyNumberFormat="1" applyFill="1"/>
    <xf numFmtId="49" fontId="2" fillId="3" borderId="0" xfId="0" applyNumberFormat="1" applyFont="1" applyFill="1"/>
    <xf numFmtId="14" fontId="2" fillId="3" borderId="0" xfId="0" applyNumberFormat="1" applyFont="1" applyFill="1"/>
    <xf numFmtId="2" fontId="0" fillId="3" borderId="0" xfId="0" applyNumberFormat="1" applyFill="1"/>
    <xf numFmtId="14" fontId="0" fillId="3" borderId="0" xfId="0" applyNumberFormat="1" applyFill="1"/>
    <xf numFmtId="166" fontId="0" fillId="3" borderId="0" xfId="0" applyNumberFormat="1" applyFill="1"/>
    <xf numFmtId="165" fontId="0" fillId="3" borderId="1" xfId="0" applyNumberFormat="1" applyFill="1" applyBorder="1"/>
    <xf numFmtId="9" fontId="0" fillId="3" borderId="1" xfId="0" applyNumberFormat="1" applyFill="1" applyBorder="1"/>
    <xf numFmtId="166" fontId="0" fillId="3" borderId="1" xfId="0" applyNumberFormat="1" applyFill="1" applyBorder="1"/>
    <xf numFmtId="2" fontId="0" fillId="3" borderId="1" xfId="0" applyNumberFormat="1" applyFill="1" applyBorder="1"/>
    <xf numFmtId="0" fontId="0" fillId="0" borderId="0" xfId="0" applyAlignment="1">
      <alignment wrapText="1"/>
    </xf>
    <xf numFmtId="0" fontId="0" fillId="0" borderId="0" xfId="0" applyAlignment="1">
      <alignment horizontal="center"/>
    </xf>
    <xf numFmtId="0" fontId="8" fillId="0" borderId="0" xfId="0" applyFont="1"/>
    <xf numFmtId="0" fontId="9" fillId="7" borderId="9" xfId="0" applyFont="1" applyFill="1" applyBorder="1" applyAlignment="1">
      <alignment horizontal="center"/>
    </xf>
    <xf numFmtId="0" fontId="10" fillId="7" borderId="10" xfId="0" applyFont="1" applyFill="1" applyBorder="1" applyAlignment="1">
      <alignment horizontal="center"/>
    </xf>
    <xf numFmtId="0" fontId="9" fillId="8" borderId="9" xfId="0" applyFont="1" applyFill="1" applyBorder="1" applyAlignment="1">
      <alignment horizontal="center"/>
    </xf>
    <xf numFmtId="0" fontId="10" fillId="8" borderId="10" xfId="0" applyFont="1" applyFill="1" applyBorder="1" applyAlignment="1">
      <alignment horizontal="center"/>
    </xf>
    <xf numFmtId="0" fontId="9" fillId="9" borderId="9" xfId="0" applyFont="1" applyFill="1" applyBorder="1" applyAlignment="1">
      <alignment horizontal="center"/>
    </xf>
    <xf numFmtId="9" fontId="10" fillId="9" borderId="10" xfId="0" applyNumberFormat="1" applyFont="1" applyFill="1" applyBorder="1" applyAlignment="1">
      <alignment horizontal="center"/>
    </xf>
    <xf numFmtId="0" fontId="9" fillId="10" borderId="9" xfId="0" applyFont="1" applyFill="1" applyBorder="1" applyAlignment="1">
      <alignment horizontal="center"/>
    </xf>
    <xf numFmtId="9" fontId="10" fillId="10" borderId="10" xfId="0" applyNumberFormat="1" applyFont="1" applyFill="1" applyBorder="1" applyAlignment="1">
      <alignment horizontal="center"/>
    </xf>
    <xf numFmtId="0" fontId="9" fillId="11" borderId="9" xfId="0" applyFont="1" applyFill="1" applyBorder="1" applyAlignment="1">
      <alignment horizontal="center"/>
    </xf>
    <xf numFmtId="9" fontId="10" fillId="11" borderId="10" xfId="0" applyNumberFormat="1" applyFont="1" applyFill="1" applyBorder="1" applyAlignment="1">
      <alignment horizontal="center"/>
    </xf>
    <xf numFmtId="0" fontId="9" fillId="12" borderId="9" xfId="0" applyFont="1" applyFill="1" applyBorder="1" applyAlignment="1">
      <alignment horizontal="center"/>
    </xf>
    <xf numFmtId="0" fontId="10" fillId="12" borderId="10" xfId="0" applyFont="1" applyFill="1" applyBorder="1" applyAlignment="1">
      <alignment horizontal="center"/>
    </xf>
    <xf numFmtId="0" fontId="0" fillId="0" borderId="0" xfId="0" applyAlignment="1">
      <alignment horizontal="center" wrapText="1"/>
    </xf>
    <xf numFmtId="0" fontId="3" fillId="0" borderId="0" xfId="0" applyFont="1"/>
    <xf numFmtId="0" fontId="0" fillId="0" borderId="0" xfId="0" pivotButton="1"/>
    <xf numFmtId="0" fontId="0" fillId="0" borderId="0" xfId="0" applyAlignment="1">
      <alignment horizontal="left"/>
    </xf>
    <xf numFmtId="165" fontId="0" fillId="0" borderId="0" xfId="0" applyNumberFormat="1"/>
    <xf numFmtId="0" fontId="2" fillId="0" borderId="0" xfId="0" applyFont="1" applyAlignment="1">
      <alignment horizontal="left"/>
    </xf>
    <xf numFmtId="0" fontId="11" fillId="0" borderId="11" xfId="0" applyFont="1" applyBorder="1" applyAlignment="1">
      <alignment horizontal="left" vertical="center" indent="2"/>
    </xf>
    <xf numFmtId="2" fontId="5" fillId="0" borderId="3" xfId="0" applyNumberFormat="1" applyFont="1" applyBorder="1" applyAlignment="1">
      <alignment wrapText="1"/>
    </xf>
    <xf numFmtId="0" fontId="3" fillId="0" borderId="0" xfId="0" applyFont="1" applyAlignment="1">
      <alignment horizontal="center"/>
    </xf>
    <xf numFmtId="0" fontId="0" fillId="0" borderId="0" xfId="0"/>
    <xf numFmtId="0" fontId="0" fillId="3" borderId="0" xfId="0" applyFill="1" applyAlignment="1">
      <alignment horizontal="center"/>
    </xf>
    <xf numFmtId="0" fontId="0" fillId="0" borderId="0" xfId="0" applyAlignment="1">
      <alignment horizontal="center"/>
    </xf>
  </cellXfs>
  <cellStyles count="1">
    <cellStyle name="Normal" xfId="0" builtinId="0"/>
  </cellStyles>
  <dxfs count="52">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64" formatCode="yyyy\-mm\-dd\ hh:mm"/>
    </dxf>
    <dxf>
      <border outline="0">
        <left style="thin">
          <color theme="4" tint="0.39997558519241921"/>
        </left>
      </border>
    </dxf>
    <dxf>
      <font>
        <b/>
        <i val="0"/>
        <strike val="0"/>
        <condense val="0"/>
        <extend val="0"/>
        <outline val="0"/>
        <shadow val="0"/>
        <u val="none"/>
        <vertAlign val="baseline"/>
        <sz val="11"/>
        <color rgb="FFFFFFFF"/>
        <name val="Carlito"/>
        <scheme val="none"/>
      </font>
      <fill>
        <patternFill patternType="solid">
          <fgColor indexed="64"/>
          <bgColor rgb="FF0F766E"/>
        </patternFill>
      </fill>
      <alignment horizontal="center" vertical="center" textRotation="0" wrapText="1" indent="0" justifyLastLine="0" shrinkToFit="0" readingOrder="0"/>
      <border diagonalUp="0" diagonalDown="0" outline="0">
        <left style="thin">
          <color theme="4" tint="0.39997558519241921"/>
        </left>
        <right style="thin">
          <color theme="4" tint="0.39997558519241921"/>
        </right>
        <top/>
        <bottom/>
      </border>
    </dxf>
    <dxf>
      <font>
        <b val="0"/>
        <i val="0"/>
        <strike val="0"/>
        <condense val="0"/>
        <extend val="0"/>
        <outline val="0"/>
        <shadow val="0"/>
        <u val="none"/>
        <vertAlign val="baseline"/>
        <sz val="11"/>
        <color theme="1"/>
        <name val="Carlito"/>
        <scheme val="none"/>
      </font>
      <numFmt numFmtId="0" formatCode="General"/>
      <alignment horizontal="center" vertical="bottom"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numFmt numFmtId="0" formatCode="General"/>
      <alignment horizontal="center" vertical="bottom"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numFmt numFmtId="0" formatCode="General"/>
      <alignment horizontal="center" vertical="bottom"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numFmt numFmtId="0" formatCode="General"/>
      <alignment horizontal="center" vertical="bottom"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numFmt numFmtId="0" formatCode="General"/>
      <alignment horizontal="center" vertical="bottom"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numFmt numFmtId="0" formatCode="General"/>
      <alignment horizontal="center" vertical="bottom"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numFmt numFmtId="0" formatCode="General"/>
      <alignment horizontal="center" vertical="bottom"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numFmt numFmtId="0" formatCode="General"/>
      <alignment horizontal="center" vertical="bottom"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numFmt numFmtId="0" formatCode="General"/>
      <alignment horizontal="center" vertical="bottom"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numFmt numFmtId="0" formatCode="General"/>
      <alignment horizontal="center" vertical="bottom"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numFmt numFmtId="0" formatCode="General"/>
      <alignment horizontal="center" vertical="bottom"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numFmt numFmtId="0" formatCode="General"/>
      <alignment horizontal="center" vertical="bottom"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numFmt numFmtId="2" formatCode="0.00"/>
      <alignment horizontal="center" vertical="bottom"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numFmt numFmtId="2" formatCode="0.00"/>
      <alignment horizontal="center" vertical="bottom"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numFmt numFmtId="2" formatCode="0.00"/>
      <alignment horizontal="center" vertical="bottom"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numFmt numFmtId="2" formatCode="0.00"/>
      <alignment horizontal="center" vertical="bottom"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numFmt numFmtId="30" formatCode="@"/>
      <alignment horizontal="general" vertical="bottom" textRotation="0" wrapText="1" indent="0" justifyLastLine="0" shrinkToFit="0" readingOrder="0"/>
      <border diagonalUp="0" diagonalDown="0" outline="0">
        <left/>
        <right style="thin">
          <color theme="4" tint="0.39997558519241921"/>
        </right>
        <top style="thin">
          <color theme="4" tint="0.39997558519241921"/>
        </top>
        <bottom/>
      </border>
    </dxf>
    <dxf>
      <font>
        <b val="0"/>
        <i val="0"/>
        <strike val="0"/>
        <condense val="0"/>
        <extend val="0"/>
        <outline val="0"/>
        <shadow val="0"/>
        <u val="none"/>
        <vertAlign val="baseline"/>
        <sz val="11"/>
        <color theme="1"/>
        <name val="Carlito"/>
        <scheme val="none"/>
      </font>
      <numFmt numFmtId="30" formatCode="@"/>
      <alignment horizontal="general" vertical="bottom" textRotation="0" wrapText="1" indent="0" justifyLastLine="0" shrinkToFit="0" readingOrder="0"/>
      <border diagonalUp="0" diagonalDown="0">
        <left/>
        <right style="thin">
          <color theme="4" tint="0.39997558519241921"/>
        </right>
        <top style="thin">
          <color theme="4" tint="0.39997558519241921"/>
        </top>
        <bottom/>
        <vertical/>
        <horizontal/>
      </border>
    </dxf>
    <dxf>
      <font>
        <b val="0"/>
        <i val="0"/>
        <strike val="0"/>
        <condense val="0"/>
        <extend val="0"/>
        <outline val="0"/>
        <shadow val="0"/>
        <u val="none"/>
        <vertAlign val="baseline"/>
        <sz val="11"/>
        <color theme="1"/>
        <name val="Carlito"/>
        <scheme val="none"/>
      </font>
      <numFmt numFmtId="2" formatCode="0.00"/>
      <alignment horizontal="general" vertical="bottom"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numFmt numFmtId="19" formatCode="dd/mm/yyyy"/>
      <alignment horizontal="general" vertical="bottom"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numFmt numFmtId="164" formatCode="yyyy\-mm\-dd\ hh:mm"/>
      <alignment horizontal="general" vertical="bottom"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numFmt numFmtId="164" formatCode="yyyy\-mm\-dd\ hh:mm"/>
      <alignment horizontal="general" vertical="bottom"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numFmt numFmtId="164" formatCode="yyyy\-mm\-dd\ hh:mm"/>
      <alignment horizontal="general" vertical="bottom"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numFmt numFmtId="164" formatCode="yyyy\-mm\-dd\ hh:mm"/>
      <alignment horizontal="general" vertical="bottom"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numFmt numFmtId="164" formatCode="yyyy\-mm\-dd\ hh:mm"/>
      <alignment horizontal="general" vertical="bottom"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numFmt numFmtId="164" formatCode="yyyy\-mm\-dd\ hh:mm"/>
      <alignment horizontal="general" vertical="bottom"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numFmt numFmtId="164" formatCode="yyyy\-mm\-dd\ hh:mm"/>
      <alignment horizontal="general" vertical="bottom"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numFmt numFmtId="164" formatCode="yyyy\-mm\-dd\ hh:mm"/>
      <alignment horizontal="general" vertical="bottom"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numFmt numFmtId="164" formatCode="yyyy\-mm\-dd\ hh:mm"/>
      <alignment horizontal="general" vertical="bottom"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numFmt numFmtId="164" formatCode="yyyy\-mm\-dd\ hh:mm"/>
      <alignment horizontal="general" vertical="bottom"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numFmt numFmtId="164" formatCode="yyyy\-mm\-dd\ hh:mm"/>
      <alignment horizontal="general" vertical="bottom"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numFmt numFmtId="164" formatCode="yyyy\-mm\-dd\ hh:mm"/>
      <alignment horizontal="general" vertical="bottom"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numFmt numFmtId="30" formatCode="@"/>
      <alignment horizontal="general" vertical="bottom"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numFmt numFmtId="30" formatCode="@"/>
      <alignment horizontal="general" vertical="bottom"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numFmt numFmtId="30" formatCode="@"/>
      <alignment horizontal="general" vertical="bottom"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numFmt numFmtId="30" formatCode="@"/>
      <alignment horizontal="general" vertical="bottom"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numFmt numFmtId="30" formatCode="@"/>
      <alignment horizontal="center" vertical="bottom" textRotation="0" wrapText="1" indent="0" justifyLastLine="0" shrinkToFit="0" readingOrder="0"/>
      <border diagonalUp="0" diagonalDown="0" outline="0">
        <left style="thin">
          <color theme="4" tint="0.39997558519241921"/>
        </left>
        <right/>
        <top style="thin">
          <color theme="4" tint="0.39997558519241921"/>
        </top>
        <bottom/>
      </border>
    </dxf>
    <dxf>
      <font>
        <b val="0"/>
        <i val="0"/>
        <strike val="0"/>
        <condense val="0"/>
        <extend val="0"/>
        <outline val="0"/>
        <shadow val="0"/>
        <u val="none"/>
        <vertAlign val="baseline"/>
        <sz val="11"/>
        <color theme="1"/>
        <name val="Carlito"/>
        <scheme val="none"/>
      </font>
      <numFmt numFmtId="30" formatCode="@"/>
      <alignment horizontal="center" vertical="bottom" textRotation="0" wrapText="1" indent="0" justifyLastLine="0" shrinkToFit="0" readingOrder="0"/>
      <border diagonalUp="0" diagonalDown="0">
        <left style="thin">
          <color theme="4" tint="0.39997558519241921"/>
        </left>
        <right/>
        <top style="thin">
          <color theme="4" tint="0.39997558519241921"/>
        </top>
        <bottom/>
        <vertical/>
        <horizontal/>
      </border>
    </dxf>
    <dxf>
      <border outline="0">
        <bottom style="thin">
          <color theme="4" tint="0.39997558519241921"/>
        </bottom>
      </border>
    </dxf>
    <dxf>
      <font>
        <b val="0"/>
        <i val="0"/>
        <strike val="0"/>
        <condense val="0"/>
        <extend val="0"/>
        <outline val="0"/>
        <shadow val="0"/>
        <u val="none"/>
        <vertAlign val="baseline"/>
        <sz val="11"/>
        <color theme="1"/>
        <name val="Carlito"/>
        <scheme val="none"/>
      </font>
      <alignment horizontal="center" vertical="bottom" textRotation="0" wrapText="1" indent="0" justifyLastLine="0" shrinkToFit="0" readingOrder="0"/>
    </dxf>
    <dxf>
      <font>
        <b/>
        <i val="0"/>
        <strike val="0"/>
        <condense val="0"/>
        <extend val="0"/>
        <outline val="0"/>
        <shadow val="0"/>
        <u val="none"/>
        <vertAlign val="baseline"/>
        <sz val="11"/>
        <color rgb="FFFFFFFF"/>
        <name val="Carlito"/>
        <scheme val="none"/>
      </font>
      <numFmt numFmtId="19" formatCode="dd/mm/yyyy"/>
      <fill>
        <patternFill patternType="solid">
          <fgColor indexed="64"/>
          <bgColor rgb="FF0F766E"/>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VOR SLA Status</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752-489A-9E97-44928942323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752-489A-9E97-44928942323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Dashboard!$C$9:$C$10</c:f>
              <c:numCache>
                <c:formatCode>General</c:formatCode>
                <c:ptCount val="2"/>
                <c:pt idx="0">
                  <c:v>38</c:v>
                </c:pt>
                <c:pt idx="1">
                  <c:v>62</c:v>
                </c:pt>
              </c:numCache>
            </c:numRef>
          </c:val>
          <c:extLst>
            <c:ext xmlns:c16="http://schemas.microsoft.com/office/drawing/2014/chart" uri="{C3380CC4-5D6E-409C-BE32-E72D297353CC}">
              <c16:uniqueId val="{00000000-3788-4868-A92D-4E587D8C0E1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Avg VOR Days by Garage</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Dashboard!$F$9:$F$18</c:f>
              <c:strCache>
                <c:ptCount val="10"/>
                <c:pt idx="0">
                  <c:v>15 Yemen Rd Garage</c:v>
                </c:pt>
                <c:pt idx="1">
                  <c:v>Central Perk Repairs</c:v>
                </c:pt>
                <c:pt idx="2">
                  <c:v>Dr Drake Ramoray Autos</c:v>
                </c:pt>
                <c:pt idx="3">
                  <c:v>Geller Repair Shop</c:v>
                </c:pt>
                <c:pt idx="4">
                  <c:v>Joey Special Auto Centre</c:v>
                </c:pt>
                <c:pt idx="5">
                  <c:v>Miss Chanandler Bong Garage</c:v>
                </c:pt>
                <c:pt idx="6">
                  <c:v>Mississippilessly Repairs</c:v>
                </c:pt>
                <c:pt idx="7">
                  <c:v>PIVOT Garage Repairs</c:v>
                </c:pt>
                <c:pt idx="8">
                  <c:v>Princess Consuela Auto Centre</c:v>
                </c:pt>
                <c:pt idx="9">
                  <c:v>Rachel Greep Workshop</c:v>
                </c:pt>
              </c:strCache>
            </c:strRef>
          </c:cat>
          <c:val>
            <c:numRef>
              <c:f>Dashboard!$G$9:$G$18</c:f>
              <c:numCache>
                <c:formatCode>General</c:formatCode>
                <c:ptCount val="10"/>
                <c:pt idx="0">
                  <c:v>3.3333333333300996</c:v>
                </c:pt>
                <c:pt idx="1">
                  <c:v>3.7066666666670547</c:v>
                </c:pt>
                <c:pt idx="2">
                  <c:v>4.1399999999979631</c:v>
                </c:pt>
                <c:pt idx="3">
                  <c:v>4.2111111111128894</c:v>
                </c:pt>
                <c:pt idx="4">
                  <c:v>4.844444444442666</c:v>
                </c:pt>
                <c:pt idx="5">
                  <c:v>3.4833333333323631</c:v>
                </c:pt>
                <c:pt idx="6">
                  <c:v>5.78999999999869</c:v>
                </c:pt>
                <c:pt idx="7">
                  <c:v>3.7692307692302096</c:v>
                </c:pt>
                <c:pt idx="8">
                  <c:v>4.9384615384601949</c:v>
                </c:pt>
                <c:pt idx="9">
                  <c:v>4.4833333333347882</c:v>
                </c:pt>
              </c:numCache>
            </c:numRef>
          </c:val>
          <c:extLst>
            <c:ext xmlns:c16="http://schemas.microsoft.com/office/drawing/2014/chart" uri="{C3380CC4-5D6E-409C-BE32-E72D297353CC}">
              <c16:uniqueId val="{00000000-7011-442C-862F-0C530AAA3A90}"/>
            </c:ext>
          </c:extLst>
        </c:ser>
        <c:dLbls>
          <c:showLegendKey val="0"/>
          <c:showVal val="0"/>
          <c:showCatName val="0"/>
          <c:showSerName val="0"/>
          <c:showPercent val="0"/>
          <c:showBubbleSize val="0"/>
        </c:dLbls>
        <c:gapWidth val="182"/>
        <c:axId val="498434543"/>
        <c:axId val="498433583"/>
      </c:barChart>
      <c:catAx>
        <c:axId val="498434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433583"/>
        <c:crosses val="autoZero"/>
        <c:auto val="1"/>
        <c:lblAlgn val="ctr"/>
        <c:lblOffset val="100"/>
        <c:noMultiLvlLbl val="0"/>
      </c:catAx>
      <c:valAx>
        <c:axId val="498433583"/>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434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Delay Reasons Breakdown</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Dashboard!$B$27:$B$33</c:f>
              <c:strCache>
                <c:ptCount val="7"/>
                <c:pt idx="0">
                  <c:v>None (On Time)</c:v>
                </c:pt>
                <c:pt idx="1">
                  <c:v>Parts on Backorder</c:v>
                </c:pt>
                <c:pt idx="2">
                  <c:v>Garage Capacity / Ramp Delay</c:v>
                </c:pt>
                <c:pt idx="3">
                  <c:v>Incorrect Job Scoping</c:v>
                </c:pt>
                <c:pt idx="4">
                  <c:v>Awaiting Client Authorization</c:v>
                </c:pt>
                <c:pt idx="5">
                  <c:v>Recovery Delivery Failure</c:v>
                </c:pt>
                <c:pt idx="6">
                  <c:v>Unknown / Insufficient Data</c:v>
                </c:pt>
              </c:strCache>
            </c:strRef>
          </c:cat>
          <c:val>
            <c:numRef>
              <c:f>Dashboard!$C$27:$C$33</c:f>
              <c:numCache>
                <c:formatCode>General</c:formatCode>
                <c:ptCount val="7"/>
                <c:pt idx="0">
                  <c:v>38</c:v>
                </c:pt>
                <c:pt idx="1">
                  <c:v>15</c:v>
                </c:pt>
                <c:pt idx="2">
                  <c:v>12</c:v>
                </c:pt>
                <c:pt idx="3">
                  <c:v>10</c:v>
                </c:pt>
                <c:pt idx="4">
                  <c:v>14</c:v>
                </c:pt>
                <c:pt idx="5">
                  <c:v>0</c:v>
                </c:pt>
                <c:pt idx="6">
                  <c:v>11</c:v>
                </c:pt>
              </c:numCache>
            </c:numRef>
          </c:val>
          <c:extLst>
            <c:ext xmlns:c16="http://schemas.microsoft.com/office/drawing/2014/chart" uri="{C3380CC4-5D6E-409C-BE32-E72D297353CC}">
              <c16:uniqueId val="{00000000-B02C-4610-97C7-7DB3444E1FD4}"/>
            </c:ext>
          </c:extLst>
        </c:ser>
        <c:dLbls>
          <c:showLegendKey val="0"/>
          <c:showVal val="0"/>
          <c:showCatName val="0"/>
          <c:showSerName val="0"/>
          <c:showPercent val="0"/>
          <c:showBubbleSize val="0"/>
        </c:dLbls>
        <c:gapWidth val="219"/>
        <c:overlap val="-27"/>
        <c:axId val="1519709727"/>
        <c:axId val="499370175"/>
      </c:barChart>
      <c:catAx>
        <c:axId val="1519709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370175"/>
        <c:crosses val="autoZero"/>
        <c:auto val="1"/>
        <c:lblAlgn val="ctr"/>
        <c:lblOffset val="100"/>
        <c:noMultiLvlLbl val="0"/>
      </c:catAx>
      <c:valAx>
        <c:axId val="499370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9709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11</xdr:row>
      <xdr:rowOff>1</xdr:rowOff>
    </xdr:from>
    <xdr:to>
      <xdr:col>5</xdr:col>
      <xdr:colOff>0</xdr:colOff>
      <xdr:row>24</xdr:row>
      <xdr:rowOff>1</xdr:rowOff>
    </xdr:to>
    <xdr:graphicFrame macro="">
      <xdr:nvGraphicFramePr>
        <xdr:cNvPr id="2" name="Chart 1">
          <a:extLst>
            <a:ext uri="{FF2B5EF4-FFF2-40B4-BE49-F238E27FC236}">
              <a16:creationId xmlns:a16="http://schemas.microsoft.com/office/drawing/2014/main" id="{83CF577B-0778-4667-1D5A-C89751C043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11</xdr:row>
      <xdr:rowOff>1</xdr:rowOff>
    </xdr:from>
    <xdr:to>
      <xdr:col>11</xdr:col>
      <xdr:colOff>0</xdr:colOff>
      <xdr:row>24</xdr:row>
      <xdr:rowOff>1</xdr:rowOff>
    </xdr:to>
    <xdr:graphicFrame macro="">
      <xdr:nvGraphicFramePr>
        <xdr:cNvPr id="3" name="Chart 2">
          <a:extLst>
            <a:ext uri="{FF2B5EF4-FFF2-40B4-BE49-F238E27FC236}">
              <a16:creationId xmlns:a16="http://schemas.microsoft.com/office/drawing/2014/main" id="{DCE31480-1608-CCD7-B9CD-4D457A42C5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34</xdr:row>
      <xdr:rowOff>1</xdr:rowOff>
    </xdr:from>
    <xdr:to>
      <xdr:col>7</xdr:col>
      <xdr:colOff>0</xdr:colOff>
      <xdr:row>47</xdr:row>
      <xdr:rowOff>1</xdr:rowOff>
    </xdr:to>
    <xdr:graphicFrame macro="">
      <xdr:nvGraphicFramePr>
        <xdr:cNvPr id="4" name="Chart 3">
          <a:extLst>
            <a:ext uri="{FF2B5EF4-FFF2-40B4-BE49-F238E27FC236}">
              <a16:creationId xmlns:a16="http://schemas.microsoft.com/office/drawing/2014/main" id="{7D9EF131-D505-AFBA-3F84-23E4A9D288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533400</xdr:colOff>
      <xdr:row>10</xdr:row>
      <xdr:rowOff>38100</xdr:rowOff>
    </xdr:from>
    <xdr:to>
      <xdr:col>8</xdr:col>
      <xdr:colOff>361950</xdr:colOff>
      <xdr:row>16</xdr:row>
      <xdr:rowOff>9525</xdr:rowOff>
    </xdr:to>
    <mc:AlternateContent xmlns:mc="http://schemas.openxmlformats.org/markup-compatibility/2006" xmlns:a14="http://schemas.microsoft.com/office/drawing/2010/main">
      <mc:Choice Requires="a14">
        <xdr:graphicFrame macro="">
          <xdr:nvGraphicFramePr>
            <xdr:cNvPr id="2" name="Vehicle_Type">
              <a:extLst>
                <a:ext uri="{FF2B5EF4-FFF2-40B4-BE49-F238E27FC236}">
                  <a16:creationId xmlns:a16="http://schemas.microsoft.com/office/drawing/2014/main" id="{C53CC753-CC2E-451B-A15B-FA1AD4B5633D}"/>
                </a:ext>
              </a:extLst>
            </xdr:cNvPr>
            <xdr:cNvGraphicFramePr/>
          </xdr:nvGraphicFramePr>
          <xdr:xfrm>
            <a:off x="0" y="0"/>
            <a:ext cx="0" cy="0"/>
          </xdr:xfrm>
          <a:graphic>
            <a:graphicData uri="http://schemas.microsoft.com/office/drawing/2010/slicer">
              <sle:slicer xmlns:sle="http://schemas.microsoft.com/office/drawing/2010/slicer" name="Vehicle_Type"/>
            </a:graphicData>
          </a:graphic>
        </xdr:graphicFrame>
      </mc:Choice>
      <mc:Fallback xmlns="">
        <xdr:sp macro="" textlink="">
          <xdr:nvSpPr>
            <xdr:cNvPr id="0" name=""/>
            <xdr:cNvSpPr>
              <a:spLocks noTextEdit="1"/>
            </xdr:cNvSpPr>
          </xdr:nvSpPr>
          <xdr:spPr>
            <a:xfrm>
              <a:off x="8429625" y="1933575"/>
              <a:ext cx="1828800" cy="10572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542925</xdr:colOff>
      <xdr:row>3</xdr:row>
      <xdr:rowOff>133351</xdr:rowOff>
    </xdr:from>
    <xdr:to>
      <xdr:col>8</xdr:col>
      <xdr:colOff>371475</xdr:colOff>
      <xdr:row>9</xdr:row>
      <xdr:rowOff>66676</xdr:rowOff>
    </xdr:to>
    <mc:AlternateContent xmlns:mc="http://schemas.openxmlformats.org/markup-compatibility/2006" xmlns:a14="http://schemas.microsoft.com/office/drawing/2010/main">
      <mc:Choice Requires="a14">
        <xdr:graphicFrame macro="">
          <xdr:nvGraphicFramePr>
            <xdr:cNvPr id="3" name="VOR_SLA_Breached?">
              <a:extLst>
                <a:ext uri="{FF2B5EF4-FFF2-40B4-BE49-F238E27FC236}">
                  <a16:creationId xmlns:a16="http://schemas.microsoft.com/office/drawing/2014/main" id="{255E223B-4844-D1DB-C030-D2736EEEB080}"/>
                </a:ext>
              </a:extLst>
            </xdr:cNvPr>
            <xdr:cNvGraphicFramePr/>
          </xdr:nvGraphicFramePr>
          <xdr:xfrm>
            <a:off x="0" y="0"/>
            <a:ext cx="0" cy="0"/>
          </xdr:xfrm>
          <a:graphic>
            <a:graphicData uri="http://schemas.microsoft.com/office/drawing/2010/slicer">
              <sle:slicer xmlns:sle="http://schemas.microsoft.com/office/drawing/2010/slicer" name="VOR_SLA_Breached?"/>
            </a:graphicData>
          </a:graphic>
        </xdr:graphicFrame>
      </mc:Choice>
      <mc:Fallback xmlns="">
        <xdr:sp macro="" textlink="">
          <xdr:nvSpPr>
            <xdr:cNvPr id="0" name=""/>
            <xdr:cNvSpPr>
              <a:spLocks noTextEdit="1"/>
            </xdr:cNvSpPr>
          </xdr:nvSpPr>
          <xdr:spPr>
            <a:xfrm>
              <a:off x="8439150" y="752476"/>
              <a:ext cx="1828800" cy="1028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38100</xdr:colOff>
      <xdr:row>3</xdr:row>
      <xdr:rowOff>123825</xdr:rowOff>
    </xdr:from>
    <xdr:to>
      <xdr:col>11</xdr:col>
      <xdr:colOff>495300</xdr:colOff>
      <xdr:row>17</xdr:row>
      <xdr:rowOff>104775</xdr:rowOff>
    </xdr:to>
    <mc:AlternateContent xmlns:mc="http://schemas.openxmlformats.org/markup-compatibility/2006" xmlns:a14="http://schemas.microsoft.com/office/drawing/2010/main">
      <mc:Choice Requires="a14">
        <xdr:graphicFrame macro="">
          <xdr:nvGraphicFramePr>
            <xdr:cNvPr id="4" name="Garage_Name">
              <a:extLst>
                <a:ext uri="{FF2B5EF4-FFF2-40B4-BE49-F238E27FC236}">
                  <a16:creationId xmlns:a16="http://schemas.microsoft.com/office/drawing/2014/main" id="{DDAC0B15-E534-727D-8118-3FEC8F44B14B}"/>
                </a:ext>
              </a:extLst>
            </xdr:cNvPr>
            <xdr:cNvGraphicFramePr/>
          </xdr:nvGraphicFramePr>
          <xdr:xfrm>
            <a:off x="0" y="0"/>
            <a:ext cx="0" cy="0"/>
          </xdr:xfrm>
          <a:graphic>
            <a:graphicData uri="http://schemas.microsoft.com/office/drawing/2010/slicer">
              <sle:slicer xmlns:sle="http://schemas.microsoft.com/office/drawing/2010/slicer" name="Garage_Name"/>
            </a:graphicData>
          </a:graphic>
        </xdr:graphicFrame>
      </mc:Choice>
      <mc:Fallback xmlns="">
        <xdr:sp macro="" textlink="">
          <xdr:nvSpPr>
            <xdr:cNvPr id="0" name=""/>
            <xdr:cNvSpPr>
              <a:spLocks noTextEdit="1"/>
            </xdr:cNvSpPr>
          </xdr:nvSpPr>
          <xdr:spPr>
            <a:xfrm>
              <a:off x="10591800" y="74295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ntol Ormsby" refreshedDate="46174.951839351852" createdVersion="8" refreshedVersion="8" minRefreshableVersion="3" recordCount="100" xr:uid="{5A812DBA-F8E6-4397-B0E4-16A90DF60E4E}">
  <cacheSource type="worksheet">
    <worksheetSource ref="A1:Q101" sheet="Cleaned_Data"/>
  </cacheSource>
  <cacheFields count="20">
    <cacheField name="Vehicle_ID" numFmtId="49">
      <sharedItems/>
    </cacheField>
    <cacheField name="Vehicle_Type" numFmtId="49">
      <sharedItems count="2">
        <s v="Specialised"/>
        <s v="Standard"/>
      </sharedItems>
    </cacheField>
    <cacheField name="Make_Model" numFmtId="49">
      <sharedItems count="6">
        <s v="Ford Transit"/>
        <s v="Vauxhall Vivaro"/>
        <s v="Mercedes Atego"/>
        <s v="Iveco Daily"/>
        <s v="Vauxhall Movano"/>
        <s v="Renault Sprinter"/>
      </sharedItems>
    </cacheField>
    <cacheField name="Defect_Reported_DateTime" numFmtId="164">
      <sharedItems containsSemiMixedTypes="0" containsNonDate="0" containsDate="1" containsString="0" minDate="2026-01-04T08:45:00" maxDate="2026-04-30T09:15:00"/>
    </cacheField>
    <cacheField name="Garage_Booked_DateTime" numFmtId="164">
      <sharedItems containsSemiMixedTypes="0" containsNonDate="0" containsDate="1" containsString="0" minDate="2026-01-05T18:51:00" maxDate="2026-05-02T12:03:00"/>
    </cacheField>
    <cacheField name="Garage_In_Date" numFmtId="164">
      <sharedItems containsSemiMixedTypes="0" containsNonDate="0" containsDate="1" containsString="0" minDate="2026-01-05T18:51:00" maxDate="2026-05-04T12:03:00"/>
    </cacheField>
    <cacheField name="Garage_Out_Date" numFmtId="164">
      <sharedItems containsSemiMixedTypes="0" containsNonDate="0" containsDate="1" containsString="0" minDate="2026-01-08T06:51:00" maxDate="2026-05-12T21:39:00"/>
    </cacheField>
    <cacheField name="Actual_Repair_Start_Date" numFmtId="164">
      <sharedItems containsNonDate="0" containsDate="1" containsString="0" containsBlank="1" minDate="2026-01-06T11:15:00" maxDate="2026-05-04T12:03:00"/>
    </cacheField>
    <cacheField name="Estimated_Completion_Date" numFmtId="164">
      <sharedItems containsNonDate="0" containsDate="1" containsString="0" containsBlank="1" minDate="2026-01-07T00:00:00" maxDate="2026-05-12T00:00:00"/>
    </cacheField>
    <cacheField name="Primary_Delay_Reason" numFmtId="14">
      <sharedItems count="6">
        <s v="None (On Time)"/>
        <s v="Unknown / Insufficient Data"/>
        <s v="Garage Capacity / Ramp Delay"/>
        <s v="Incorrect Job Scoping"/>
        <s v="Awaiting Client Authorization"/>
        <s v="Parts on Backorder"/>
      </sharedItems>
    </cacheField>
    <cacheField name="Garage_Name" numFmtId="49">
      <sharedItems count="10">
        <s v="Joey Special Auto Centre"/>
        <s v="Geller Repair Shop"/>
        <s v="Central Perk Repairs"/>
        <s v="15 Yemen Rd Garage"/>
        <s v="Princess Consuela Auto Centre"/>
        <s v="PIVOT Garage Repairs"/>
        <s v="Dr Drake Ramoray Autos"/>
        <s v="Mississippilessly Repairs"/>
        <s v="Miss Chanandler Bong Garage"/>
        <s v="Rachel Greep Workshop"/>
      </sharedItems>
    </cacheField>
    <cacheField name="Hours_To_Book" numFmtId="2">
      <sharedItems containsSemiMixedTypes="0" containsString="0" containsNumber="1" minValue="7.9999999995343387" maxValue="107.20000000001164"/>
    </cacheField>
    <cacheField name="Booking_SLA_Breached?" numFmtId="2">
      <sharedItems/>
    </cacheField>
    <cacheField name="Total_VOR_Days" numFmtId="0">
      <sharedItems containsSemiMixedTypes="0" containsString="0" containsNumber="1" minValue="0.5" maxValue="10.099999999983993"/>
    </cacheField>
    <cacheField name="VOR_SLA_Breached?" numFmtId="0">
      <sharedItems count="2">
        <s v="No"/>
        <s v="Yes"/>
      </sharedItems>
    </cacheField>
    <cacheField name="Specialist_Priority_Effectiveness" numFmtId="0">
      <sharedItems/>
    </cacheField>
    <cacheField name="Hours_To_Start_Repair" numFmtId="0">
      <sharedItems containsMixedTypes="1" containsNumber="1" minValue="-0.64999999984866008" maxValue="75.049999999813735"/>
    </cacheField>
    <cacheField name="Column1" numFmtId="0">
      <sharedItems containsSemiMixedTypes="0" containsString="0" containsNumber="1" containsInteger="1" minValue="0" maxValue="36"/>
    </cacheField>
    <cacheField name="Column2" numFmtId="0">
      <sharedItems containsSemiMixedTypes="0" containsString="0" containsNumber="1" containsInteger="1" minValue="1" maxValue="100"/>
    </cacheField>
    <cacheField name="Column3" numFmtId="166">
      <sharedItems containsSemiMixedTypes="0" containsString="0" containsNumber="1" minValue="0" maxValue="0.45714285714285713"/>
    </cacheField>
  </cacheFields>
  <extLst>
    <ext xmlns:x14="http://schemas.microsoft.com/office/spreadsheetml/2009/9/main" uri="{725AE2AE-9491-48be-B2B4-4EB974FC3084}">
      <x14:pivotCacheDefinition pivotCacheId="3807910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VH1000"/>
    <x v="0"/>
    <x v="0"/>
    <d v="2026-01-13T13:30:00"/>
    <d v="2026-01-14T06:12:00"/>
    <d v="2026-01-16T06:12:00"/>
    <d v="2026-01-18T06:12:00"/>
    <d v="2026-01-16T08:30:00"/>
    <d v="2026-01-17T00:00:00"/>
    <x v="0"/>
    <x v="0"/>
    <n v="16.699999999953434"/>
    <s v="No"/>
    <n v="2"/>
    <x v="0"/>
    <s v="Effective"/>
    <n v="2.2999999998137355"/>
    <n v="36"/>
    <n v="100"/>
    <n v="0.36"/>
  </r>
  <r>
    <s v="VH1001"/>
    <x v="1"/>
    <x v="1"/>
    <d v="2026-03-21T13:15:00"/>
    <d v="2026-03-23T18:21:00"/>
    <d v="2026-03-23T22:21:00"/>
    <d v="2026-03-27T12:45:00"/>
    <d v="2026-03-24T02:21:00"/>
    <d v="2026-03-27T00:00:00"/>
    <x v="1"/>
    <x v="1"/>
    <n v="53.099999999685679"/>
    <s v="Not Applicable"/>
    <n v="3.5999999999985448"/>
    <x v="1"/>
    <s v="Not Applicable"/>
    <n v="4.0000000001164153"/>
    <n v="35"/>
    <n v="99"/>
    <n v="0.35353535353535354"/>
  </r>
  <r>
    <s v="VH1002"/>
    <x v="1"/>
    <x v="2"/>
    <d v="2026-02-28T13:15:00"/>
    <d v="2026-03-02T09:57:00"/>
    <d v="2026-03-02T17:57:00"/>
    <d v="2026-03-07T22:45:00"/>
    <d v="2026-03-02T21:57:00"/>
    <d v="2026-03-06T00:00:00"/>
    <x v="2"/>
    <x v="2"/>
    <n v="44.699999999720603"/>
    <s v="Not Applicable"/>
    <n v="5.1999999999898137"/>
    <x v="1"/>
    <s v="Not Applicable"/>
    <n v="3.9999999999417923"/>
    <n v="35"/>
    <n v="98"/>
    <n v="0.35714285714285715"/>
  </r>
  <r>
    <s v="VH1003"/>
    <x v="0"/>
    <x v="3"/>
    <d v="2026-03-01T14:30:00"/>
    <d v="2026-03-03T07:36:00"/>
    <d v="2026-03-04T19:36:00"/>
    <d v="2026-03-08T19:36:00"/>
    <d v="2026-03-04T23:36:00"/>
    <d v="2026-03-07T00:00:00"/>
    <x v="3"/>
    <x v="3"/>
    <n v="41.100000000384171"/>
    <s v="No"/>
    <n v="4"/>
    <x v="1"/>
    <s v="Ineffective"/>
    <n v="3.9999999997671694"/>
    <n v="35"/>
    <n v="97"/>
    <n v="0.36082474226804123"/>
  </r>
  <r>
    <s v="VH1004"/>
    <x v="0"/>
    <x v="3"/>
    <d v="2026-01-09T11:30:00"/>
    <d v="2026-01-10T18:48:00"/>
    <d v="2026-01-12T18:48:00"/>
    <d v="2026-01-19T06:48:00"/>
    <d v="2026-01-13T08:30:00"/>
    <d v="2026-01-17T00:00:00"/>
    <x v="4"/>
    <x v="0"/>
    <n v="31.300000000221189"/>
    <s v="No"/>
    <n v="6.5"/>
    <x v="1"/>
    <s v="Ineffective"/>
    <n v="13.699999999778811"/>
    <n v="35"/>
    <n v="96"/>
    <n v="0.36458333333333331"/>
  </r>
  <r>
    <s v="VH1005"/>
    <x v="1"/>
    <x v="1"/>
    <d v="2026-03-16T14:45:00"/>
    <d v="2026-03-16T22:45:00"/>
    <d v="2026-03-17T02:45:00"/>
    <d v="2026-03-26T12:21:00"/>
    <d v="2026-03-17T02:45:00"/>
    <d v="2026-03-25T00:00:00"/>
    <x v="5"/>
    <x v="4"/>
    <n v="7.9999999995343387"/>
    <s v="Not Applicable"/>
    <n v="9.3999999999869033"/>
    <x v="1"/>
    <s v="Not Applicable"/>
    <n v="0"/>
    <n v="35"/>
    <n v="95"/>
    <n v="0.36842105263157893"/>
  </r>
  <r>
    <s v="VH1006"/>
    <x v="1"/>
    <x v="1"/>
    <d v="2026-02-24T17:00:00"/>
    <d v="2026-02-26T01:48:00"/>
    <d v="2026-02-27T01:48:00"/>
    <d v="2026-03-05T01:48:00"/>
    <d v="2026-02-27T09:30:00"/>
    <d v="2026-03-04T00:00:00"/>
    <x v="3"/>
    <x v="5"/>
    <n v="32.79999999969732"/>
    <s v="Not Applicable"/>
    <n v="6"/>
    <x v="1"/>
    <s v="Not Applicable"/>
    <n v="7.7000000003026798"/>
    <n v="35"/>
    <n v="94"/>
    <n v="0.37234042553191488"/>
  </r>
  <r>
    <s v="VH1007"/>
    <x v="1"/>
    <x v="1"/>
    <d v="2026-04-24T16:30:00"/>
    <d v="2026-04-27T01:48:00"/>
    <d v="2026-04-27T09:48:00"/>
    <d v="2026-04-29T19:24:00"/>
    <d v="2026-04-27T09:48:00"/>
    <d v="2026-04-28T00:00:00"/>
    <x v="0"/>
    <x v="0"/>
    <n v="57.299999999930151"/>
    <s v="Not Applicable"/>
    <n v="2.3999999999941792"/>
    <x v="0"/>
    <s v="Not Applicable"/>
    <n v="0"/>
    <n v="35"/>
    <n v="93"/>
    <n v="0.37634408602150538"/>
  </r>
  <r>
    <s v="VH1008"/>
    <x v="1"/>
    <x v="4"/>
    <d v="2026-04-08T10:00:00"/>
    <d v="2026-04-11T05:42:00"/>
    <d v="2026-04-13T05:42:00"/>
    <d v="2026-04-16T05:42:00"/>
    <d v="2026-04-13T09:42:00"/>
    <d v="2026-04-16T00:00:00"/>
    <x v="0"/>
    <x v="2"/>
    <n v="67.70000000030268"/>
    <s v="Not Applicable"/>
    <n v="3"/>
    <x v="0"/>
    <s v="Not Applicable"/>
    <n v="3.9999999999417923"/>
    <n v="34"/>
    <n v="92"/>
    <n v="0.36956521739130432"/>
  </r>
  <r>
    <s v="VH1009"/>
    <x v="1"/>
    <x v="0"/>
    <d v="2026-03-18T13:45:00"/>
    <d v="2026-03-22T22:57:00"/>
    <d v="2026-03-23T06:57:00"/>
    <d v="2026-03-28T02:09:00"/>
    <d v="2026-03-26T10:00:00"/>
    <d v="2026-03-29T00:00:00"/>
    <x v="2"/>
    <x v="6"/>
    <n v="105.20000000030268"/>
    <s v="Not Applicable"/>
    <n v="4.7999999999956344"/>
    <x v="1"/>
    <s v="Not Applicable"/>
    <n v="75.049999999813735"/>
    <n v="33"/>
    <n v="91"/>
    <n v="0.36263736263736263"/>
  </r>
  <r>
    <s v="VH1010"/>
    <x v="1"/>
    <x v="0"/>
    <d v="2026-04-08T16:15:00"/>
    <d v="2026-04-11T16:33:00"/>
    <d v="2026-04-13T04:33:00"/>
    <d v="2026-04-18T23:45:00"/>
    <d v="2026-04-13T09:15:00"/>
    <d v="2026-04-18T00:00:00"/>
    <x v="5"/>
    <x v="2"/>
    <n v="72.299999999755528"/>
    <s v="Not Applicable"/>
    <n v="5.8000000000101863"/>
    <x v="1"/>
    <s v="Not Applicable"/>
    <n v="4.6999999997788109"/>
    <n v="33"/>
    <n v="90"/>
    <n v="0.36666666666666664"/>
  </r>
  <r>
    <s v="VH1011"/>
    <x v="0"/>
    <x v="2"/>
    <d v="2026-04-02T12:45:00"/>
    <d v="2026-04-04T06:03:00"/>
    <d v="2026-04-05T06:03:00"/>
    <d v="2026-04-09T08:27:00"/>
    <d v="2026-04-05T06:03:00"/>
    <d v="2026-04-07T00:00:00"/>
    <x v="5"/>
    <x v="3"/>
    <n v="41.299999999988358"/>
    <s v="No"/>
    <n v="4.0999999999985448"/>
    <x v="1"/>
    <s v="Ineffective"/>
    <n v="0"/>
    <n v="33"/>
    <n v="89"/>
    <n v="0.3707865168539326"/>
  </r>
  <r>
    <s v="VH1012"/>
    <x v="1"/>
    <x v="4"/>
    <d v="2026-03-12T11:15:00"/>
    <d v="2026-03-16T04:45:00"/>
    <d v="2026-03-16T04:45:00"/>
    <d v="2026-03-20T11:57:00"/>
    <d v="2026-03-16T08:45:00"/>
    <d v="2026-03-19T00:00:00"/>
    <x v="2"/>
    <x v="7"/>
    <n v="89.499999999767169"/>
    <s v="Not Applicable"/>
    <n v="4.3000000000101863"/>
    <x v="1"/>
    <s v="Not Applicable"/>
    <n v="4.0000000004656613"/>
    <n v="33"/>
    <n v="88"/>
    <n v="0.375"/>
  </r>
  <r>
    <s v="VH1013"/>
    <x v="0"/>
    <x v="2"/>
    <d v="2026-01-28T16:15:00"/>
    <d v="2026-01-29T18:21:00"/>
    <d v="2026-01-31T06:21:00"/>
    <d v="2026-01-31T18:21:00"/>
    <d v="2026-01-31T06:21:00"/>
    <d v="2026-01-31T00:00:00"/>
    <x v="0"/>
    <x v="5"/>
    <n v="26.099999999685679"/>
    <s v="No"/>
    <n v="0.5"/>
    <x v="0"/>
    <s v="Effective"/>
    <n v="0"/>
    <n v="33"/>
    <n v="87"/>
    <n v="0.37931034482758619"/>
  </r>
  <r>
    <s v="VH1014"/>
    <x v="0"/>
    <x v="3"/>
    <d v="2026-02-24T14:45:00"/>
    <d v="2026-02-25T21:39:00"/>
    <d v="2026-02-27T21:39:00"/>
    <d v="2026-03-03T14:27:00"/>
    <d v="2026-02-27T21:39:00"/>
    <d v="2026-03-01T00:00:00"/>
    <x v="5"/>
    <x v="5"/>
    <n v="30.899999999615829"/>
    <s v="No"/>
    <n v="3.7000000000043656"/>
    <x v="1"/>
    <s v="Ineffective"/>
    <n v="0"/>
    <n v="32"/>
    <n v="86"/>
    <n v="0.37209302325581395"/>
  </r>
  <r>
    <s v="VH1015"/>
    <x v="1"/>
    <x v="3"/>
    <d v="2026-01-25T11:45:00"/>
    <d v="2026-01-28T03:39:00"/>
    <d v="2026-01-29T03:39:00"/>
    <d v="2026-02-03T08:27:00"/>
    <d v="2026-01-29T07:39:00"/>
    <d v="2026-02-03T00:00:00"/>
    <x v="2"/>
    <x v="2"/>
    <n v="63.899999999615829"/>
    <s v="Not Applicable"/>
    <n v="5.2000000000043656"/>
    <x v="1"/>
    <s v="Not Applicable"/>
    <n v="4.0000000001164153"/>
    <n v="32"/>
    <n v="85"/>
    <n v="0.37647058823529411"/>
  </r>
  <r>
    <s v="VH1016"/>
    <x v="1"/>
    <x v="0"/>
    <d v="2026-01-07T16:00:00"/>
    <d v="2026-01-12T00:18:00"/>
    <d v="2026-01-12T04:18:00"/>
    <d v="2026-01-15T11:30:00"/>
    <d v="2026-01-14T08:30:00"/>
    <d v="2026-01-13T00:00:00"/>
    <x v="0"/>
    <x v="3"/>
    <n v="104.30000000016298"/>
    <s v="Not Applicable"/>
    <n v="3.2999999999883585"/>
    <x v="0"/>
    <s v="Not Applicable"/>
    <n v="52.199999999720603"/>
    <n v="32"/>
    <n v="84"/>
    <n v="0.38095238095238093"/>
  </r>
  <r>
    <s v="VH1017"/>
    <x v="0"/>
    <x v="3"/>
    <d v="2026-02-19T12:45:00"/>
    <d v="2026-02-20T14:51:00"/>
    <d v="2026-02-22T14:51:00"/>
    <d v="2026-03-01T19:39:00"/>
    <m/>
    <m/>
    <x v="1"/>
    <x v="0"/>
    <n v="26.100000000034925"/>
    <s v="No"/>
    <n v="7.1999999999970896"/>
    <x v="1"/>
    <s v="Ineffective"/>
    <s v="N/A"/>
    <n v="31"/>
    <n v="83"/>
    <n v="0.37349397590361444"/>
  </r>
  <r>
    <s v="VH1018"/>
    <x v="1"/>
    <x v="3"/>
    <d v="2026-01-08T17:00:00"/>
    <d v="2026-01-10T23:54:00"/>
    <d v="2026-01-12T11:54:00"/>
    <d v="2026-01-15T23:54:00"/>
    <d v="2026-01-14T10:30:00"/>
    <d v="2026-01-14T00:00:00"/>
    <x v="0"/>
    <x v="2"/>
    <n v="54.899999999615829"/>
    <s v="Not Applicable"/>
    <n v="3.5"/>
    <x v="0"/>
    <s v="Not Applicable"/>
    <n v="46.60000000015134"/>
    <n v="31"/>
    <n v="82"/>
    <n v="0.37804878048780488"/>
  </r>
  <r>
    <s v="VH1019"/>
    <x v="0"/>
    <x v="4"/>
    <d v="2026-01-09T17:00:00"/>
    <d v="2026-01-10T19:12:00"/>
    <d v="2026-01-10T19:12:00"/>
    <d v="2026-01-13T16:48:00"/>
    <d v="2026-01-11T04:00:00"/>
    <d v="2026-01-12T00:00:00"/>
    <x v="0"/>
    <x v="5"/>
    <n v="26.199999999837019"/>
    <s v="No"/>
    <n v="2.8999999999941792"/>
    <x v="0"/>
    <s v="Effective"/>
    <n v="8.7999999996973202"/>
    <n v="31"/>
    <n v="81"/>
    <n v="0.38271604938271603"/>
  </r>
  <r>
    <s v="VH1020"/>
    <x v="0"/>
    <x v="2"/>
    <d v="2026-03-14T16:30:00"/>
    <d v="2026-03-16T02:48:00"/>
    <d v="2026-03-18T02:48:00"/>
    <d v="2026-03-21T19:36:00"/>
    <d v="2026-03-19T10:30:00"/>
    <d v="2026-03-20T00:00:00"/>
    <x v="2"/>
    <x v="6"/>
    <n v="34.300000000046566"/>
    <s v="No"/>
    <n v="3.7000000000043656"/>
    <x v="1"/>
    <s v="Ineffective"/>
    <n v="31.699999999953434"/>
    <n v="30"/>
    <n v="80"/>
    <n v="0.375"/>
  </r>
  <r>
    <s v="VH1021"/>
    <x v="1"/>
    <x v="2"/>
    <d v="2026-04-29T09:00:00"/>
    <d v="2026-04-29T17:00:00"/>
    <d v="2026-04-29T17:00:00"/>
    <d v="2026-05-09T19:24:00"/>
    <d v="2026-04-30T09:00:00"/>
    <d v="2026-05-09T00:00:00"/>
    <x v="3"/>
    <x v="7"/>
    <n v="8.0000000002328306"/>
    <s v="Not Applicable"/>
    <n v="10.099999999983993"/>
    <x v="1"/>
    <s v="Not Applicable"/>
    <n v="15.999999999767169"/>
    <n v="30"/>
    <n v="79"/>
    <n v="0.379746835443038"/>
  </r>
  <r>
    <s v="VH1022"/>
    <x v="1"/>
    <x v="2"/>
    <d v="2026-02-06T10:45:00"/>
    <d v="2026-02-09T10:57:00"/>
    <d v="2026-02-10T22:57:00"/>
    <d v="2026-02-12T10:57:00"/>
    <d v="2026-02-11T08:30:00"/>
    <d v="2026-02-11T00:00:00"/>
    <x v="0"/>
    <x v="2"/>
    <n v="72.20000000030268"/>
    <s v="Not Applicable"/>
    <n v="1.5"/>
    <x v="0"/>
    <s v="Not Applicable"/>
    <n v="9.5499999996973202"/>
    <n v="30"/>
    <n v="78"/>
    <n v="0.38461538461538464"/>
  </r>
  <r>
    <s v="VH1023"/>
    <x v="1"/>
    <x v="2"/>
    <d v="2026-04-30T09:15:00"/>
    <d v="2026-05-02T12:03:00"/>
    <d v="2026-05-04T12:03:00"/>
    <d v="2026-05-12T21:39:00"/>
    <d v="2026-05-04T12:03:00"/>
    <d v="2026-05-11T00:00:00"/>
    <x v="1"/>
    <x v="7"/>
    <n v="50.800000000221189"/>
    <s v="Not Applicable"/>
    <n v="8.3999999999941792"/>
    <x v="1"/>
    <s v="Not Applicable"/>
    <n v="0"/>
    <n v="29"/>
    <n v="77"/>
    <n v="0.37662337662337664"/>
  </r>
  <r>
    <s v="VH1024"/>
    <x v="1"/>
    <x v="1"/>
    <d v="2026-03-23T12:45:00"/>
    <d v="2026-03-25T19:27:00"/>
    <d v="2026-03-25T19:27:00"/>
    <d v="2026-04-03T09:51:00"/>
    <d v="2026-03-25T23:27:00"/>
    <d v="2026-04-02T00:00:00"/>
    <x v="5"/>
    <x v="4"/>
    <n v="54.700000000011642"/>
    <s v="Not Applicable"/>
    <n v="8.6000000000058208"/>
    <x v="1"/>
    <s v="Not Applicable"/>
    <n v="3.9999999999417923"/>
    <n v="29"/>
    <n v="76"/>
    <n v="0.38157894736842107"/>
  </r>
  <r>
    <s v="VH1025"/>
    <x v="0"/>
    <x v="1"/>
    <d v="2026-01-21T15:45:00"/>
    <d v="2026-01-22T16:57:00"/>
    <d v="2026-01-24T16:57:00"/>
    <d v="2026-01-28T12:09:00"/>
    <d v="2026-01-24T16:57:00"/>
    <d v="2026-01-26T00:00:00"/>
    <x v="2"/>
    <x v="4"/>
    <n v="25.200000000069849"/>
    <s v="No"/>
    <n v="3.7999999999956344"/>
    <x v="1"/>
    <s v="Ineffective"/>
    <n v="0"/>
    <n v="29"/>
    <n v="75"/>
    <n v="0.38666666666666666"/>
  </r>
  <r>
    <s v="VH1026"/>
    <x v="1"/>
    <x v="5"/>
    <d v="2026-01-17T08:30:00"/>
    <d v="2026-01-18T05:42:00"/>
    <d v="2026-01-18T05:42:00"/>
    <d v="2026-01-25T22:30:00"/>
    <d v="2026-01-19T09:00:00"/>
    <d v="2026-01-26T00:00:00"/>
    <x v="5"/>
    <x v="2"/>
    <n v="21.20000000030268"/>
    <s v="Not Applicable"/>
    <n v="7.6999999999970896"/>
    <x v="1"/>
    <s v="Not Applicable"/>
    <n v="27.299999999930151"/>
    <n v="29"/>
    <n v="74"/>
    <n v="0.39189189189189189"/>
  </r>
  <r>
    <s v="VH1027"/>
    <x v="0"/>
    <x v="1"/>
    <d v="2026-04-06T10:15:00"/>
    <d v="2026-04-08T06:33:00"/>
    <d v="2026-04-08T10:33:00"/>
    <d v="2026-04-08T22:33:00"/>
    <d v="2026-04-08T10:33:00"/>
    <d v="2026-04-09T00:00:00"/>
    <x v="0"/>
    <x v="1"/>
    <n v="44.299999999813735"/>
    <s v="No"/>
    <n v="0.5"/>
    <x v="0"/>
    <s v="Effective"/>
    <n v="0"/>
    <n v="29"/>
    <n v="73"/>
    <n v="0.39726027397260272"/>
  </r>
  <r>
    <s v="VH1028"/>
    <x v="0"/>
    <x v="4"/>
    <d v="2026-04-14T11:30:00"/>
    <d v="2026-04-15T23:36:00"/>
    <d v="2026-04-16T23:36:00"/>
    <d v="2026-04-23T18:48:00"/>
    <d v="2026-04-16T23:36:00"/>
    <d v="2026-04-21T00:00:00"/>
    <x v="3"/>
    <x v="6"/>
    <n v="36.10000000015134"/>
    <s v="No"/>
    <n v="6.8000000000029104"/>
    <x v="1"/>
    <s v="Ineffective"/>
    <n v="0"/>
    <n v="28"/>
    <n v="72"/>
    <n v="0.3888888888888889"/>
  </r>
  <r>
    <s v="VH1029"/>
    <x v="0"/>
    <x v="3"/>
    <d v="2026-04-12T11:15:00"/>
    <d v="2026-04-13T21:45:00"/>
    <d v="2026-04-14T05:45:00"/>
    <d v="2026-04-18T15:21:00"/>
    <d v="2026-04-14T11:30:00"/>
    <d v="2026-04-16T00:00:00"/>
    <x v="5"/>
    <x v="2"/>
    <n v="34.5"/>
    <s v="No"/>
    <n v="4.3999999999869033"/>
    <x v="1"/>
    <s v="Ineffective"/>
    <n v="5.7499999995343387"/>
    <n v="28"/>
    <n v="71"/>
    <n v="0.39436619718309857"/>
  </r>
  <r>
    <s v="VH1030"/>
    <x v="1"/>
    <x v="5"/>
    <d v="2026-03-28T16:30:00"/>
    <d v="2026-03-31T09:36:00"/>
    <d v="2026-03-31T17:36:00"/>
    <d v="2026-04-04T12:48:00"/>
    <d v="2026-03-31T21:36:00"/>
    <d v="2026-04-04T00:00:00"/>
    <x v="4"/>
    <x v="1"/>
    <n v="65.100000000034925"/>
    <s v="Not Applicable"/>
    <n v="3.8000000000029104"/>
    <x v="1"/>
    <s v="Not Applicable"/>
    <n v="4.0000000001164153"/>
    <n v="28"/>
    <n v="70"/>
    <n v="0.4"/>
  </r>
  <r>
    <s v="VH1031"/>
    <x v="0"/>
    <x v="5"/>
    <d v="2026-02-10T14:00:00"/>
    <d v="2026-02-12T18:30:00"/>
    <d v="2026-02-14T06:30:00"/>
    <d v="2026-02-18T16:06:00"/>
    <d v="2026-02-14T09:30:00"/>
    <d v="2026-02-17T00:00:00"/>
    <x v="4"/>
    <x v="7"/>
    <n v="52.5"/>
    <s v="Yes"/>
    <n v="4.3999999999869033"/>
    <x v="1"/>
    <s v="Effective"/>
    <n v="3"/>
    <n v="28"/>
    <n v="69"/>
    <n v="0.40579710144927539"/>
  </r>
  <r>
    <s v="VH1032"/>
    <x v="1"/>
    <x v="2"/>
    <d v="2026-02-25T09:30:00"/>
    <d v="2026-02-27T22:42:00"/>
    <d v="2026-03-01T10:42:00"/>
    <d v="2026-03-04T03:30:00"/>
    <d v="2026-03-01T10:42:00"/>
    <d v="2026-03-04T00:00:00"/>
    <x v="0"/>
    <x v="1"/>
    <n v="61.199999999720603"/>
    <s v="Not Applicable"/>
    <n v="2.7000000000116415"/>
    <x v="0"/>
    <s v="Not Applicable"/>
    <n v="0"/>
    <n v="28"/>
    <n v="68"/>
    <n v="0.41176470588235292"/>
  </r>
  <r>
    <s v="VH1033"/>
    <x v="1"/>
    <x v="1"/>
    <d v="2026-02-07T16:15:00"/>
    <d v="2026-02-11T14:33:00"/>
    <d v="2026-02-11T18:33:00"/>
    <d v="2026-02-12T06:33:00"/>
    <d v="2026-02-12T06:33:00"/>
    <d v="2026-02-12T00:00:00"/>
    <x v="0"/>
    <x v="2"/>
    <n v="94.29999999969732"/>
    <s v="Not Applicable"/>
    <n v="0.5"/>
    <x v="0"/>
    <s v="Not Applicable"/>
    <n v="12"/>
    <n v="27"/>
    <n v="67"/>
    <n v="0.40298507462686567"/>
  </r>
  <r>
    <s v="VH1034"/>
    <x v="1"/>
    <x v="0"/>
    <d v="2026-02-08T12:15:00"/>
    <d v="2026-02-11T20:15:00"/>
    <d v="2026-02-12T20:15:00"/>
    <d v="2026-02-17T15:27:00"/>
    <d v="2026-02-13T00:15:00"/>
    <d v="2026-02-15T00:00:00"/>
    <x v="4"/>
    <x v="4"/>
    <n v="80.000000000232831"/>
    <s v="Not Applicable"/>
    <n v="4.8000000000029104"/>
    <x v="1"/>
    <s v="Not Applicable"/>
    <n v="3.9999999997671694"/>
    <n v="26"/>
    <n v="66"/>
    <n v="0.39393939393939392"/>
  </r>
  <r>
    <s v="VH1035"/>
    <x v="0"/>
    <x v="0"/>
    <d v="2026-03-07T17:30:00"/>
    <d v="2026-03-08T11:12:00"/>
    <d v="2026-03-08T11:12:00"/>
    <d v="2026-03-14T01:36:00"/>
    <d v="2026-03-08T11:00:00"/>
    <d v="2026-03-13T00:00:00"/>
    <x v="3"/>
    <x v="7"/>
    <n v="17.700000000244472"/>
    <s v="No"/>
    <n v="5.6000000000058208"/>
    <x v="1"/>
    <s v="Ineffective"/>
    <n v="-0.19999999977881089"/>
    <n v="26"/>
    <n v="65"/>
    <n v="0.4"/>
  </r>
  <r>
    <s v="VH1036"/>
    <x v="1"/>
    <x v="5"/>
    <d v="2026-03-20T09:45:00"/>
    <d v="2026-03-21T07:21:00"/>
    <d v="2026-03-22T07:21:00"/>
    <d v="2026-03-28T12:09:00"/>
    <d v="2026-03-22T07:21:00"/>
    <d v="2026-03-27T00:00:00"/>
    <x v="5"/>
    <x v="3"/>
    <n v="21.600000000034925"/>
    <s v="Not Applicable"/>
    <n v="6.1999999999970896"/>
    <x v="1"/>
    <s v="Not Applicable"/>
    <n v="0"/>
    <n v="26"/>
    <n v="64"/>
    <n v="0.40625"/>
  </r>
  <r>
    <s v="VH1037"/>
    <x v="1"/>
    <x v="0"/>
    <d v="2026-04-10T14:15:00"/>
    <d v="2026-04-12T02:21:00"/>
    <d v="2026-04-12T06:21:00"/>
    <d v="2026-04-17T11:09:00"/>
    <d v="2026-04-14T08:30:00"/>
    <d v="2026-04-18T00:00:00"/>
    <x v="1"/>
    <x v="4"/>
    <n v="36.10000000015134"/>
    <s v="Not Applicable"/>
    <n v="5.1999999999970896"/>
    <x v="1"/>
    <s v="Not Applicable"/>
    <n v="50.14999999984866"/>
    <n v="26"/>
    <n v="63"/>
    <n v="0.41269841269841268"/>
  </r>
  <r>
    <s v="VH1038"/>
    <x v="1"/>
    <x v="5"/>
    <d v="2026-03-27T16:30:00"/>
    <d v="2026-03-28T15:30:00"/>
    <d v="2026-03-29T15:30:00"/>
    <d v="2026-03-31T10:42:00"/>
    <d v="2026-03-29T19:30:00"/>
    <d v="2026-03-30T00:00:00"/>
    <x v="0"/>
    <x v="6"/>
    <n v="23.000000000232831"/>
    <s v="Not Applicable"/>
    <n v="1.7999999999883585"/>
    <x v="0"/>
    <s v="Not Applicable"/>
    <n v="3.9999999997671694"/>
    <n v="26"/>
    <n v="62"/>
    <n v="0.41935483870967744"/>
  </r>
  <r>
    <s v="VH1039"/>
    <x v="1"/>
    <x v="5"/>
    <d v="2026-02-03T11:30:00"/>
    <d v="2026-02-04T19:42:00"/>
    <d v="2026-02-06T07:42:00"/>
    <d v="2026-02-09T00:30:00"/>
    <d v="2026-02-07T09:00:00"/>
    <d v="2026-02-08T00:00:00"/>
    <x v="0"/>
    <x v="2"/>
    <n v="32.200000000186265"/>
    <s v="Not Applicable"/>
    <n v="2.7000000000116415"/>
    <x v="0"/>
    <s v="Not Applicable"/>
    <n v="25.300000000046566"/>
    <n v="25"/>
    <n v="61"/>
    <n v="0.4098360655737705"/>
  </r>
  <r>
    <s v="VH1040"/>
    <x v="1"/>
    <x v="0"/>
    <d v="2026-01-18T10:15:00"/>
    <d v="2026-01-20T18:51:00"/>
    <d v="2026-01-21T18:51:00"/>
    <d v="2026-01-29T23:39:00"/>
    <d v="2026-01-21T18:51:00"/>
    <d v="2026-01-28T00:00:00"/>
    <x v="5"/>
    <x v="1"/>
    <n v="56.599999999918509"/>
    <s v="Not Applicable"/>
    <n v="8.1999999999970896"/>
    <x v="1"/>
    <s v="Not Applicable"/>
    <n v="0"/>
    <n v="24"/>
    <n v="60"/>
    <n v="0.4"/>
  </r>
  <r>
    <s v="VH1041"/>
    <x v="1"/>
    <x v="5"/>
    <d v="2026-04-26T17:00:00"/>
    <d v="2026-04-27T15:42:00"/>
    <d v="2026-04-29T03:42:00"/>
    <d v="2026-05-03T03:42:00"/>
    <d v="2026-05-01T11:30:00"/>
    <d v="2026-05-03T00:00:00"/>
    <x v="4"/>
    <x v="1"/>
    <n v="22.699999999778811"/>
    <s v="Not Applicable"/>
    <n v="4"/>
    <x v="1"/>
    <s v="Not Applicable"/>
    <n v="55.799999999755528"/>
    <n v="24"/>
    <n v="59"/>
    <n v="0.40677966101694918"/>
  </r>
  <r>
    <s v="VH1042"/>
    <x v="1"/>
    <x v="4"/>
    <d v="2026-04-06T16:15:00"/>
    <d v="2026-04-09T00:51:00"/>
    <d v="2026-04-10T00:51:00"/>
    <d v="2026-04-19T08:03:00"/>
    <d v="2026-04-11T08:00:00"/>
    <d v="2026-04-19T00:00:00"/>
    <x v="5"/>
    <x v="6"/>
    <n v="56.599999999918509"/>
    <s v="Not Applicable"/>
    <n v="9.2999999999956344"/>
    <x v="1"/>
    <s v="Not Applicable"/>
    <n v="31.150000000081491"/>
    <n v="24"/>
    <n v="58"/>
    <n v="0.41379310344827586"/>
  </r>
  <r>
    <s v="VH1043"/>
    <x v="0"/>
    <x v="1"/>
    <d v="2026-03-10T08:45:00"/>
    <d v="2026-03-11T22:39:00"/>
    <d v="2026-03-13T10:39:00"/>
    <d v="2026-03-17T05:51:00"/>
    <d v="2026-03-15T08:00:00"/>
    <d v="2026-03-16T00:00:00"/>
    <x v="4"/>
    <x v="1"/>
    <n v="37.899999999732245"/>
    <s v="No"/>
    <n v="3.8000000000029104"/>
    <x v="1"/>
    <s v="Ineffective"/>
    <n v="45.350000000267755"/>
    <n v="24"/>
    <n v="57"/>
    <n v="0.42105263157894735"/>
  </r>
  <r>
    <s v="VH1044"/>
    <x v="1"/>
    <x v="2"/>
    <d v="2026-01-28T15:30:00"/>
    <d v="2026-01-30T20:30:00"/>
    <d v="2026-01-31T04:30:00"/>
    <d v="2026-02-04T11:42:00"/>
    <d v="2026-02-02T11:15:00"/>
    <d v="2026-02-04T00:00:00"/>
    <x v="2"/>
    <x v="3"/>
    <n v="52.999999999534339"/>
    <s v="Not Applicable"/>
    <n v="4.3000000000029104"/>
    <x v="1"/>
    <s v="Not Applicable"/>
    <n v="54.75"/>
    <n v="24"/>
    <n v="56"/>
    <n v="0.42857142857142855"/>
  </r>
  <r>
    <s v="VH1045"/>
    <x v="1"/>
    <x v="1"/>
    <d v="2026-03-11T08:30:00"/>
    <d v="2026-03-12T18:06:00"/>
    <d v="2026-03-12T22:06:00"/>
    <d v="2026-03-15T02:54:00"/>
    <d v="2026-03-13T11:00:00"/>
    <d v="2026-03-15T00:00:00"/>
    <x v="0"/>
    <x v="3"/>
    <n v="33.600000000384171"/>
    <s v="Not Applicable"/>
    <n v="2.1999999999970896"/>
    <x v="0"/>
    <s v="Not Applicable"/>
    <n v="12.900000000314321"/>
    <n v="24"/>
    <n v="55"/>
    <n v="0.43636363636363634"/>
  </r>
  <r>
    <s v="VH1046"/>
    <x v="1"/>
    <x v="4"/>
    <d v="2026-01-20T11:15:00"/>
    <d v="2026-01-21T11:09:00"/>
    <d v="2026-01-22T11:09:00"/>
    <d v="2026-01-25T11:09:00"/>
    <d v="2026-01-25T08:30:00"/>
    <d v="2026-01-24T00:00:00"/>
    <x v="0"/>
    <x v="8"/>
    <n v="23.89999999984866"/>
    <s v="Not Applicable"/>
    <n v="3"/>
    <x v="0"/>
    <s v="Not Applicable"/>
    <n v="69.349999999918509"/>
    <n v="23"/>
    <n v="54"/>
    <n v="0.42592592592592593"/>
  </r>
  <r>
    <s v="VH1047"/>
    <x v="1"/>
    <x v="1"/>
    <d v="2026-04-02T09:15:00"/>
    <d v="2026-04-03T15:27:00"/>
    <d v="2026-04-03T23:27:00"/>
    <d v="2026-04-08T13:51:00"/>
    <d v="2026-04-04T09:00:00"/>
    <d v="2026-04-09T00:00:00"/>
    <x v="4"/>
    <x v="7"/>
    <n v="30.20000000030268"/>
    <s v="Not Applicable"/>
    <n v="4.5999999999985448"/>
    <x v="1"/>
    <s v="Not Applicable"/>
    <n v="9.5500000000465661"/>
    <n v="22"/>
    <n v="53"/>
    <n v="0.41509433962264153"/>
  </r>
  <r>
    <s v="VH1048"/>
    <x v="1"/>
    <x v="0"/>
    <d v="2026-03-17T11:00:00"/>
    <d v="2026-03-19T21:12:00"/>
    <d v="2026-03-21T21:12:00"/>
    <d v="2026-03-26T14:00:00"/>
    <d v="2026-03-22T09:15:00"/>
    <d v="2026-03-26T00:00:00"/>
    <x v="1"/>
    <x v="9"/>
    <n v="58.199999999720603"/>
    <s v="Not Applicable"/>
    <n v="4.7000000000116415"/>
    <x v="1"/>
    <s v="Not Applicable"/>
    <n v="12.049999999813735"/>
    <n v="22"/>
    <n v="52"/>
    <n v="0.42307692307692307"/>
  </r>
  <r>
    <s v="VH1049"/>
    <x v="1"/>
    <x v="4"/>
    <d v="2026-02-24T13:00:00"/>
    <d v="2026-02-25T01:36:00"/>
    <d v="2026-02-26T13:36:00"/>
    <d v="2026-03-02T13:36:00"/>
    <d v="2026-02-27T08:30:00"/>
    <d v="2026-03-02T00:00:00"/>
    <x v="5"/>
    <x v="6"/>
    <n v="12.600000000384171"/>
    <s v="Not Applicable"/>
    <n v="4"/>
    <x v="1"/>
    <s v="Not Applicable"/>
    <n v="18.899999999615829"/>
    <n v="22"/>
    <n v="51"/>
    <n v="0.43137254901960786"/>
  </r>
  <r>
    <s v="VH1050"/>
    <x v="1"/>
    <x v="1"/>
    <d v="2026-01-20T14:15:00"/>
    <d v="2026-01-22T18:27:00"/>
    <d v="2026-01-24T18:27:00"/>
    <d v="2026-01-26T01:39:00"/>
    <d v="2026-01-24T22:27:00"/>
    <d v="2026-01-26T00:00:00"/>
    <x v="0"/>
    <x v="8"/>
    <n v="52.200000000069849"/>
    <s v="Not Applicable"/>
    <n v="1.2999999999956344"/>
    <x v="0"/>
    <s v="Not Applicable"/>
    <n v="3.9999999999417923"/>
    <n v="22"/>
    <n v="50"/>
    <n v="0.44"/>
  </r>
  <r>
    <s v="VH1051"/>
    <x v="1"/>
    <x v="2"/>
    <d v="2026-02-11T11:00:00"/>
    <d v="2026-02-13T13:42:00"/>
    <d v="2026-02-13T21:42:00"/>
    <d v="2026-02-19T04:54:00"/>
    <d v="2026-02-14T09:15:00"/>
    <d v="2026-02-18T00:00:00"/>
    <x v="4"/>
    <x v="9"/>
    <n v="50.699999999720603"/>
    <s v="Not Applicable"/>
    <n v="5.3000000000029104"/>
    <x v="1"/>
    <s v="Not Applicable"/>
    <n v="11.549999999755528"/>
    <n v="21"/>
    <n v="49"/>
    <n v="0.42857142857142855"/>
  </r>
  <r>
    <s v="VH1052"/>
    <x v="1"/>
    <x v="3"/>
    <d v="2026-03-04T11:30:00"/>
    <d v="2026-03-06T07:24:00"/>
    <d v="2026-03-06T15:24:00"/>
    <d v="2026-03-08T15:24:00"/>
    <d v="2026-03-06T19:24:00"/>
    <d v="2026-03-08T00:00:00"/>
    <x v="0"/>
    <x v="5"/>
    <n v="43.900000000081491"/>
    <s v="Not Applicable"/>
    <n v="2"/>
    <x v="0"/>
    <s v="Not Applicable"/>
    <n v="3.9999999997671694"/>
    <n v="21"/>
    <n v="48"/>
    <n v="0.4375"/>
  </r>
  <r>
    <s v="VH1053"/>
    <x v="0"/>
    <x v="5"/>
    <d v="2026-03-04T16:15:00"/>
    <d v="2026-03-06T12:03:00"/>
    <d v="2026-03-08T12:03:00"/>
    <d v="2026-03-09T14:27:00"/>
    <d v="2026-03-09T08:00:00"/>
    <d v="2026-03-08T00:00:00"/>
    <x v="0"/>
    <x v="7"/>
    <n v="43.799999999755528"/>
    <s v="No"/>
    <n v="1.0999999999985448"/>
    <x v="0"/>
    <s v="Effective"/>
    <n v="19.950000000244472"/>
    <n v="20"/>
    <n v="47"/>
    <n v="0.42553191489361702"/>
  </r>
  <r>
    <s v="VH1054"/>
    <x v="0"/>
    <x v="2"/>
    <d v="2026-02-17T15:30:00"/>
    <d v="2026-02-18T22:30:00"/>
    <d v="2026-02-19T22:30:00"/>
    <d v="2026-02-26T15:18:00"/>
    <d v="2026-02-20T09:15:00"/>
    <d v="2026-02-25T00:00:00"/>
    <x v="1"/>
    <x v="7"/>
    <n v="30.999999999767169"/>
    <s v="No"/>
    <n v="6.6999999999970896"/>
    <x v="1"/>
    <s v="Ineffective"/>
    <n v="10.749999999767169"/>
    <n v="19"/>
    <n v="46"/>
    <n v="0.41304347826086957"/>
  </r>
  <r>
    <s v="VH1055"/>
    <x v="1"/>
    <x v="2"/>
    <d v="2026-01-16T16:15:00"/>
    <d v="2026-01-18T22:39:00"/>
    <d v="2026-01-19T02:39:00"/>
    <d v="2026-01-23T19:27:00"/>
    <d v="2026-01-19T02:39:00"/>
    <d v="2026-01-24T00:00:00"/>
    <x v="2"/>
    <x v="5"/>
    <n v="54.399999999732245"/>
    <s v="Not Applicable"/>
    <n v="4.6999999999970896"/>
    <x v="1"/>
    <s v="Not Applicable"/>
    <n v="0"/>
    <n v="19"/>
    <n v="45"/>
    <n v="0.42222222222222222"/>
  </r>
  <r>
    <s v="VH1056"/>
    <x v="1"/>
    <x v="3"/>
    <d v="2026-02-07T11:30:00"/>
    <d v="2026-02-10T19:18:00"/>
    <d v="2026-02-10T23:18:00"/>
    <d v="2026-02-14T04:06:00"/>
    <d v="2026-02-13T08:30:00"/>
    <d v="2026-02-15T00:00:00"/>
    <x v="0"/>
    <x v="4"/>
    <n v="79.800000000279397"/>
    <s v="Not Applicable"/>
    <n v="3.1999999999970896"/>
    <x v="0"/>
    <s v="Not Applicable"/>
    <n v="57.199999999778811"/>
    <n v="19"/>
    <n v="44"/>
    <n v="0.43181818181818182"/>
  </r>
  <r>
    <s v="VH1057"/>
    <x v="0"/>
    <x v="4"/>
    <d v="2026-03-04T09:00:00"/>
    <d v="2026-03-06T02:36:00"/>
    <d v="2026-03-07T14:36:00"/>
    <d v="2026-03-11T07:24:00"/>
    <d v="2026-03-08T09:15:00"/>
    <d v="2026-03-10T00:00:00"/>
    <x v="1"/>
    <x v="5"/>
    <n v="41.599999999918509"/>
    <s v="No"/>
    <n v="3.6999999999970896"/>
    <x v="1"/>
    <s v="Ineffective"/>
    <n v="18.64999999984866"/>
    <n v="18"/>
    <n v="43"/>
    <n v="0.41860465116279072"/>
  </r>
  <r>
    <s v="VH1058"/>
    <x v="1"/>
    <x v="0"/>
    <d v="2026-02-21T15:00:00"/>
    <d v="2026-02-24T22:30:00"/>
    <d v="2026-02-26T10:30:00"/>
    <d v="2026-03-02T03:18:00"/>
    <d v="2026-02-26T10:30:00"/>
    <d v="2026-03-02T00:00:00"/>
    <x v="2"/>
    <x v="5"/>
    <n v="79.5"/>
    <s v="Not Applicable"/>
    <n v="3.6999999999970896"/>
    <x v="1"/>
    <s v="Not Applicable"/>
    <n v="0"/>
    <n v="18"/>
    <n v="42"/>
    <n v="0.42857142857142855"/>
  </r>
  <r>
    <s v="VH1059"/>
    <x v="1"/>
    <x v="4"/>
    <d v="2026-04-08T14:15:00"/>
    <d v="2026-04-10T15:57:00"/>
    <d v="2026-04-12T03:57:00"/>
    <d v="2026-04-13T03:57:00"/>
    <d v="2026-04-12T03:57:00"/>
    <d v="2026-04-14T00:00:00"/>
    <x v="0"/>
    <x v="3"/>
    <n v="49.699999999953434"/>
    <s v="Not Applicable"/>
    <n v="1"/>
    <x v="0"/>
    <s v="Not Applicable"/>
    <n v="0"/>
    <n v="18"/>
    <n v="41"/>
    <n v="0.43902439024390244"/>
  </r>
  <r>
    <s v="VH1060"/>
    <x v="1"/>
    <x v="4"/>
    <d v="2026-04-05T09:15:00"/>
    <d v="2026-04-09T01:09:00"/>
    <d v="2026-04-11T01:09:00"/>
    <d v="2026-04-15T22:45:00"/>
    <d v="2026-04-11T10:00:00"/>
    <d v="2026-04-15T00:00:00"/>
    <x v="2"/>
    <x v="6"/>
    <n v="87.900000000314321"/>
    <s v="Not Applicable"/>
    <n v="4.8999999999869033"/>
    <x v="1"/>
    <s v="Not Applicable"/>
    <n v="8.8499999996856786"/>
    <n v="17"/>
    <n v="40"/>
    <n v="0.42499999999999999"/>
  </r>
  <r>
    <s v="VH1061"/>
    <x v="1"/>
    <x v="1"/>
    <d v="2026-03-18T15:30:00"/>
    <d v="2026-03-22T05:54:00"/>
    <d v="2026-03-22T05:54:00"/>
    <d v="2026-03-26T20:18:00"/>
    <d v="2026-03-22T05:54:00"/>
    <d v="2026-03-25T00:00:00"/>
    <x v="3"/>
    <x v="8"/>
    <n v="86.399999999615829"/>
    <s v="Not Applicable"/>
    <n v="4.6000000000058208"/>
    <x v="1"/>
    <s v="Not Applicable"/>
    <n v="0"/>
    <n v="17"/>
    <n v="39"/>
    <n v="0.4358974358974359"/>
  </r>
  <r>
    <s v="VH1062"/>
    <x v="1"/>
    <x v="1"/>
    <d v="2026-04-13T11:45:00"/>
    <d v="2026-04-17T04:57:00"/>
    <d v="2026-04-17T04:57:00"/>
    <d v="2026-04-18T14:33:00"/>
    <d v="2026-04-17T04:57:00"/>
    <d v="2026-04-17T00:00:00"/>
    <x v="0"/>
    <x v="0"/>
    <n v="89.199999999837019"/>
    <s v="Not Applicable"/>
    <n v="1.3999999999941792"/>
    <x v="0"/>
    <s v="Not Applicable"/>
    <n v="0"/>
    <n v="17"/>
    <n v="38"/>
    <n v="0.44736842105263158"/>
  </r>
  <r>
    <s v="VH1063"/>
    <x v="1"/>
    <x v="4"/>
    <d v="2026-04-06T17:30:00"/>
    <d v="2026-04-08T15:42:00"/>
    <d v="2026-04-09T15:42:00"/>
    <d v="2026-04-16T01:18:00"/>
    <d v="2026-04-10T11:30:00"/>
    <d v="2026-04-16T00:00:00"/>
    <x v="4"/>
    <x v="5"/>
    <n v="46.200000000244472"/>
    <s v="Not Applicable"/>
    <n v="6.4000000000014552"/>
    <x v="1"/>
    <s v="Not Applicable"/>
    <n v="19.799999999755528"/>
    <n v="16"/>
    <n v="37"/>
    <n v="0.43243243243243246"/>
  </r>
  <r>
    <s v="VH1064"/>
    <x v="0"/>
    <x v="0"/>
    <d v="2026-02-25T13:30:00"/>
    <d v="2026-02-27T03:36:00"/>
    <d v="2026-02-27T03:36:00"/>
    <d v="2026-03-07T15:36:00"/>
    <d v="2026-02-27T09:30:00"/>
    <d v="2026-03-06T00:00:00"/>
    <x v="3"/>
    <x v="0"/>
    <n v="38.100000000034925"/>
    <s v="No"/>
    <n v="8.5"/>
    <x v="1"/>
    <s v="Ineffective"/>
    <n v="5.900000000197906"/>
    <n v="16"/>
    <n v="36"/>
    <n v="0.44444444444444442"/>
  </r>
  <r>
    <s v="VH1065"/>
    <x v="1"/>
    <x v="4"/>
    <d v="2026-01-06T10:45:00"/>
    <d v="2026-01-10T00:15:00"/>
    <d v="2026-01-11T12:15:00"/>
    <d v="2026-01-13T02:39:00"/>
    <d v="2026-01-11T12:15:00"/>
    <d v="2026-01-13T00:00:00"/>
    <x v="0"/>
    <x v="5"/>
    <n v="85.5"/>
    <s v="Not Applicable"/>
    <n v="1.6000000000130967"/>
    <x v="0"/>
    <s v="Not Applicable"/>
    <n v="0"/>
    <n v="16"/>
    <n v="35"/>
    <n v="0.45714285714285713"/>
  </r>
  <r>
    <s v="VH1066"/>
    <x v="1"/>
    <x v="5"/>
    <d v="2026-02-14T14:30:00"/>
    <d v="2026-02-15T05:36:00"/>
    <d v="2026-02-15T13:36:00"/>
    <d v="2026-02-17T20:48:00"/>
    <d v="2026-02-15T17:36:00"/>
    <d v="2026-02-17T00:00:00"/>
    <x v="0"/>
    <x v="2"/>
    <n v="15.10000000015134"/>
    <s v="Not Applicable"/>
    <n v="2.2999999999956344"/>
    <x v="0"/>
    <s v="Not Applicable"/>
    <n v="3.9999999997671694"/>
    <n v="15"/>
    <n v="34"/>
    <n v="0.44117647058823528"/>
  </r>
  <r>
    <s v="VH1067"/>
    <x v="1"/>
    <x v="0"/>
    <d v="2026-02-28T09:30:00"/>
    <d v="2026-03-01T02:24:00"/>
    <d v="2026-03-01T10:24:00"/>
    <d v="2026-03-03T05:36:00"/>
    <d v="2026-03-01T10:24:00"/>
    <d v="2026-03-02T00:00:00"/>
    <x v="0"/>
    <x v="2"/>
    <n v="16.899999999732245"/>
    <s v="Not Applicable"/>
    <n v="1.8000000000029104"/>
    <x v="0"/>
    <s v="Not Applicable"/>
    <n v="0"/>
    <n v="14"/>
    <n v="33"/>
    <n v="0.42424242424242425"/>
  </r>
  <r>
    <s v="VH1068"/>
    <x v="1"/>
    <x v="5"/>
    <d v="2026-02-22T08:15:00"/>
    <d v="2026-02-26T19:27:00"/>
    <d v="2026-02-28T07:27:00"/>
    <d v="2026-03-02T07:27:00"/>
    <d v="2026-02-28T07:27:00"/>
    <d v="2026-03-01T00:00:00"/>
    <x v="0"/>
    <x v="0"/>
    <n v="107.20000000001164"/>
    <s v="Not Applicable"/>
    <n v="2"/>
    <x v="0"/>
    <s v="Not Applicable"/>
    <n v="0"/>
    <n v="13"/>
    <n v="32"/>
    <n v="0.40625"/>
  </r>
  <r>
    <s v="VH1069"/>
    <x v="0"/>
    <x v="4"/>
    <d v="2026-03-04T09:00:00"/>
    <d v="2026-03-06T00:54:00"/>
    <d v="2026-03-08T00:54:00"/>
    <d v="2026-03-11T03:18:00"/>
    <d v="2026-03-10T11:30:00"/>
    <d v="2026-03-09T00:00:00"/>
    <x v="0"/>
    <x v="5"/>
    <n v="39.899999999965075"/>
    <s v="No"/>
    <n v="3.0999999999985448"/>
    <x v="0"/>
    <s v="Effective"/>
    <n v="58.599999999802094"/>
    <n v="12"/>
    <n v="31"/>
    <n v="0.38709677419354838"/>
  </r>
  <r>
    <s v="VH1070"/>
    <x v="1"/>
    <x v="5"/>
    <d v="2026-01-16T10:45:00"/>
    <d v="2026-01-18T07:27:00"/>
    <d v="2026-01-20T07:27:00"/>
    <d v="2026-01-23T17:03:00"/>
    <d v="2026-01-23T09:00:00"/>
    <d v="2026-01-23T00:00:00"/>
    <x v="0"/>
    <x v="4"/>
    <n v="44.700000000244472"/>
    <s v="Not Applicable"/>
    <n v="3.4000000000014552"/>
    <x v="0"/>
    <s v="Not Applicable"/>
    <n v="73.549999999988358"/>
    <n v="11"/>
    <n v="30"/>
    <n v="0.36666666666666664"/>
  </r>
  <r>
    <s v="VH1071"/>
    <x v="0"/>
    <x v="0"/>
    <d v="2026-03-18T16:15:00"/>
    <d v="2026-03-21T01:03:00"/>
    <d v="2026-03-21T09:03:00"/>
    <d v="2026-03-28T13:51:00"/>
    <d v="2026-03-22T10:15:00"/>
    <d v="2026-03-26T00:00:00"/>
    <x v="1"/>
    <x v="0"/>
    <n v="56.79999999969732"/>
    <s v="Yes"/>
    <n v="7.1999999999970896"/>
    <x v="1"/>
    <s v="Effective"/>
    <n v="25.200000000244472"/>
    <n v="10"/>
    <n v="29"/>
    <n v="0.34482758620689657"/>
  </r>
  <r>
    <s v="VH1072"/>
    <x v="1"/>
    <x v="0"/>
    <d v="2026-02-06T12:45:00"/>
    <d v="2026-02-09T11:39:00"/>
    <d v="2026-02-10T11:39:00"/>
    <d v="2026-02-13T02:03:00"/>
    <d v="2026-02-10T11:39:00"/>
    <d v="2026-02-11T00:00:00"/>
    <x v="0"/>
    <x v="9"/>
    <n v="70.900000000081491"/>
    <s v="Not Applicable"/>
    <n v="2.5999999999985448"/>
    <x v="0"/>
    <s v="Not Applicable"/>
    <n v="0"/>
    <n v="10"/>
    <n v="28"/>
    <n v="0.35714285714285715"/>
  </r>
  <r>
    <s v="VH1073"/>
    <x v="1"/>
    <x v="3"/>
    <d v="2026-03-31T11:45:00"/>
    <d v="2026-04-02T22:39:00"/>
    <d v="2026-04-02T22:39:00"/>
    <d v="2026-04-10T13:03:00"/>
    <d v="2026-04-04T11:00:00"/>
    <d v="2026-04-10T00:00:00"/>
    <x v="3"/>
    <x v="4"/>
    <n v="58.899999999732245"/>
    <s v="Not Applicable"/>
    <n v="7.5999999999985448"/>
    <x v="1"/>
    <s v="Not Applicable"/>
    <n v="36.350000000267755"/>
    <n v="9"/>
    <n v="27"/>
    <n v="0.33333333333333331"/>
  </r>
  <r>
    <s v="VH1074"/>
    <x v="1"/>
    <x v="5"/>
    <d v="2026-01-05T10:30:00"/>
    <d v="2026-01-09T00:06:00"/>
    <d v="2026-01-10T00:06:00"/>
    <d v="2026-01-11T04:54:00"/>
    <d v="2026-01-10T00:06:00"/>
    <d v="2026-01-11T00:00:00"/>
    <x v="0"/>
    <x v="4"/>
    <n v="85.60000000015134"/>
    <s v="Not Applicable"/>
    <n v="1.1999999999970896"/>
    <x v="0"/>
    <s v="Not Applicable"/>
    <n v="0"/>
    <n v="9"/>
    <n v="26"/>
    <n v="0.34615384615384615"/>
  </r>
  <r>
    <s v="VH1075"/>
    <x v="0"/>
    <x v="2"/>
    <d v="2026-02-03T13:45:00"/>
    <d v="2026-02-04T08:57:00"/>
    <d v="2026-02-06T08:57:00"/>
    <d v="2026-02-07T08:57:00"/>
    <d v="2026-02-06T11:15:00"/>
    <d v="2026-02-07T00:00:00"/>
    <x v="0"/>
    <x v="6"/>
    <n v="19.200000000244472"/>
    <s v="No"/>
    <n v="1"/>
    <x v="0"/>
    <s v="Effective"/>
    <n v="2.2999999999883585"/>
    <n v="8"/>
    <n v="25"/>
    <n v="0.32"/>
  </r>
  <r>
    <s v="VH1076"/>
    <x v="1"/>
    <x v="4"/>
    <d v="2026-01-05T17:00:00"/>
    <d v="2026-01-08T03:12:00"/>
    <d v="2026-01-08T11:12:00"/>
    <d v="2026-01-15T16:00:00"/>
    <d v="2026-01-11T10:15:00"/>
    <d v="2026-01-13T00:00:00"/>
    <x v="2"/>
    <x v="5"/>
    <n v="58.199999999720603"/>
    <s v="Not Applicable"/>
    <n v="7.1999999999898137"/>
    <x v="1"/>
    <s v="Not Applicable"/>
    <n v="71.050000000221189"/>
    <n v="7"/>
    <n v="24"/>
    <n v="0.29166666666666669"/>
  </r>
  <r>
    <s v="VH1077"/>
    <x v="0"/>
    <x v="0"/>
    <d v="2026-02-08T08:00:00"/>
    <d v="2026-02-09T11:42:00"/>
    <d v="2026-02-09T19:42:00"/>
    <d v="2026-02-14T14:54:00"/>
    <d v="2026-02-10T10:00:00"/>
    <d v="2026-02-13T00:00:00"/>
    <x v="1"/>
    <x v="4"/>
    <n v="27.699999999837019"/>
    <s v="No"/>
    <n v="4.7999999999956344"/>
    <x v="1"/>
    <s v="Ineffective"/>
    <n v="14.299999999813735"/>
    <n v="7"/>
    <n v="23"/>
    <n v="0.30434782608695654"/>
  </r>
  <r>
    <s v="VH1078"/>
    <x v="1"/>
    <x v="3"/>
    <d v="2026-01-23T09:45:00"/>
    <d v="2026-01-25T04:51:00"/>
    <d v="2026-01-26T16:51:00"/>
    <d v="2026-01-29T21:39:00"/>
    <d v="2026-01-27T10:00:00"/>
    <d v="2026-01-29T00:00:00"/>
    <x v="0"/>
    <x v="3"/>
    <n v="43.099999999918509"/>
    <s v="Not Applicable"/>
    <n v="3.1999999999970896"/>
    <x v="0"/>
    <s v="Not Applicable"/>
    <n v="17.14999999984866"/>
    <n v="7"/>
    <n v="22"/>
    <n v="0.31818181818181818"/>
  </r>
  <r>
    <s v="VH1079"/>
    <x v="0"/>
    <x v="4"/>
    <d v="2026-03-28T16:15:00"/>
    <d v="2026-03-30T15:33:00"/>
    <d v="2026-04-01T03:33:00"/>
    <d v="2026-04-07T13:09:00"/>
    <d v="2026-04-01T07:33:00"/>
    <d v="2026-04-07T00:00:00"/>
    <x v="5"/>
    <x v="0"/>
    <n v="47.299999999813735"/>
    <s v="No"/>
    <n v="6.4000000000014552"/>
    <x v="1"/>
    <s v="Ineffective"/>
    <n v="3.9999999999417923"/>
    <n v="6"/>
    <n v="21"/>
    <n v="0.2857142857142857"/>
  </r>
  <r>
    <s v="VH1080"/>
    <x v="1"/>
    <x v="3"/>
    <d v="2026-02-19T15:00:00"/>
    <d v="2026-02-22T00:18:00"/>
    <d v="2026-02-23T12:18:00"/>
    <d v="2026-03-02T07:30:00"/>
    <d v="2026-02-23T12:18:00"/>
    <d v="2026-03-03T00:00:00"/>
    <x v="4"/>
    <x v="1"/>
    <n v="57.299999999930151"/>
    <s v="Not Applicable"/>
    <n v="6.8000000000029104"/>
    <x v="1"/>
    <s v="Not Applicable"/>
    <n v="0"/>
    <n v="6"/>
    <n v="20"/>
    <n v="0.3"/>
  </r>
  <r>
    <s v="VH1081"/>
    <x v="0"/>
    <x v="0"/>
    <d v="2026-04-21T08:45:00"/>
    <d v="2026-04-22T22:51:00"/>
    <d v="2026-04-23T02:51:00"/>
    <d v="2026-04-23T14:51:00"/>
    <d v="2026-04-23T06:51:00"/>
    <d v="2026-04-24T00:00:00"/>
    <x v="0"/>
    <x v="4"/>
    <n v="38.099999999685679"/>
    <s v="No"/>
    <n v="0.5"/>
    <x v="0"/>
    <s v="Effective"/>
    <n v="4.0000000001164153"/>
    <n v="6"/>
    <n v="19"/>
    <n v="0.31578947368421051"/>
  </r>
  <r>
    <s v="VH1082"/>
    <x v="1"/>
    <x v="1"/>
    <d v="2026-01-13T08:30:00"/>
    <d v="2026-01-15T16:54:00"/>
    <d v="2026-01-16T00:54:00"/>
    <d v="2026-01-19T17:42:00"/>
    <d v="2026-01-16T09:15:00"/>
    <d v="2026-01-18T00:00:00"/>
    <x v="4"/>
    <x v="4"/>
    <n v="56.400000000314321"/>
    <s v="Not Applicable"/>
    <n v="3.7000000000043656"/>
    <x v="1"/>
    <s v="Not Applicable"/>
    <n v="8.349999999802094"/>
    <n v="5"/>
    <n v="18"/>
    <n v="0.27777777777777779"/>
  </r>
  <r>
    <s v="VH1083"/>
    <x v="1"/>
    <x v="3"/>
    <d v="2026-01-17T16:30:00"/>
    <d v="2026-01-18T00:30:00"/>
    <d v="2026-01-18T04:30:00"/>
    <d v="2026-01-21T11:42:00"/>
    <d v="2026-01-18T08:30:00"/>
    <d v="2026-01-20T00:00:00"/>
    <x v="0"/>
    <x v="9"/>
    <n v="8.0000000002328306"/>
    <s v="Not Applicable"/>
    <n v="3.3000000000029104"/>
    <x v="0"/>
    <s v="Not Applicable"/>
    <n v="3.9999999997671694"/>
    <n v="5"/>
    <n v="17"/>
    <n v="0.29411764705882354"/>
  </r>
  <r>
    <s v="VH1084"/>
    <x v="0"/>
    <x v="2"/>
    <d v="2026-01-10T10:15:00"/>
    <d v="2026-01-11T23:57:00"/>
    <d v="2026-01-12T23:57:00"/>
    <d v="2026-01-14T16:45:00"/>
    <d v="2026-01-12T23:57:00"/>
    <d v="2026-01-14T00:00:00"/>
    <x v="0"/>
    <x v="3"/>
    <n v="37.699999999778811"/>
    <s v="No"/>
    <n v="1.6999999999898137"/>
    <x v="0"/>
    <s v="Effective"/>
    <n v="0"/>
    <n v="4"/>
    <n v="16"/>
    <n v="0.25"/>
  </r>
  <r>
    <s v="VH1085"/>
    <x v="1"/>
    <x v="2"/>
    <d v="2026-03-10T09:45:00"/>
    <d v="2026-03-11T15:57:00"/>
    <d v="2026-03-11T23:57:00"/>
    <d v="2026-03-18T14:21:00"/>
    <d v="2026-03-12T10:15:00"/>
    <d v="2026-03-16T00:00:00"/>
    <x v="5"/>
    <x v="7"/>
    <n v="30.199999999953434"/>
    <s v="Not Applicable"/>
    <n v="6.6000000000058208"/>
    <x v="1"/>
    <s v="Not Applicable"/>
    <n v="10.300000000221189"/>
    <n v="3"/>
    <n v="15"/>
    <n v="0.2"/>
  </r>
  <r>
    <s v="VH1086"/>
    <x v="0"/>
    <x v="0"/>
    <d v="2026-04-24T16:30:00"/>
    <d v="2026-04-26T02:42:00"/>
    <d v="2026-04-26T02:42:00"/>
    <d v="2026-04-29T14:42:00"/>
    <d v="2026-04-26T06:42:00"/>
    <d v="2026-04-28T00:00:00"/>
    <x v="0"/>
    <x v="5"/>
    <n v="34.200000000069849"/>
    <s v="No"/>
    <n v="3.5"/>
    <x v="0"/>
    <s v="Effective"/>
    <n v="3.9999999999417923"/>
    <n v="3"/>
    <n v="14"/>
    <n v="0.21428571428571427"/>
  </r>
  <r>
    <s v="VH1087"/>
    <x v="1"/>
    <x v="3"/>
    <d v="2026-01-06T08:30:00"/>
    <d v="2026-01-09T02:24:00"/>
    <d v="2026-01-09T06:24:00"/>
    <d v="2026-01-13T11:12:00"/>
    <d v="2026-01-11T10:15:00"/>
    <d v="2026-01-11T00:00:00"/>
    <x v="3"/>
    <x v="2"/>
    <n v="65.900000000197906"/>
    <s v="Not Applicable"/>
    <n v="4.1999999999970896"/>
    <x v="1"/>
    <s v="Not Applicable"/>
    <n v="51.85000000015134"/>
    <n v="3"/>
    <n v="13"/>
    <n v="0.23076923076923078"/>
  </r>
  <r>
    <s v="VH1088"/>
    <x v="0"/>
    <x v="2"/>
    <d v="2026-04-04T10:45:00"/>
    <d v="2026-04-05T06:39:00"/>
    <d v="2026-04-06T18:39:00"/>
    <d v="2026-04-07T21:03:00"/>
    <d v="2026-04-06T18:39:00"/>
    <d v="2026-04-08T00:00:00"/>
    <x v="0"/>
    <x v="6"/>
    <n v="19.900000000081491"/>
    <s v="No"/>
    <n v="1.1000000000058208"/>
    <x v="0"/>
    <s v="Effective"/>
    <n v="0"/>
    <n v="3"/>
    <n v="12"/>
    <n v="0.25"/>
  </r>
  <r>
    <s v="VH1089"/>
    <x v="0"/>
    <x v="1"/>
    <d v="2026-04-20T13:00:00"/>
    <d v="2026-04-22T02:06:00"/>
    <d v="2026-04-24T02:06:00"/>
    <d v="2026-04-28T02:06:00"/>
    <d v="2026-04-24T06:06:00"/>
    <d v="2026-04-27T00:00:00"/>
    <x v="5"/>
    <x v="6"/>
    <n v="37.100000000267755"/>
    <s v="No"/>
    <n v="4"/>
    <x v="1"/>
    <s v="Ineffective"/>
    <n v="4.0000000001164153"/>
    <n v="2"/>
    <n v="11"/>
    <n v="0.18181818181818182"/>
  </r>
  <r>
    <s v="VH1090"/>
    <x v="0"/>
    <x v="2"/>
    <d v="2026-03-24T17:00:00"/>
    <d v="2026-03-26T05:18:00"/>
    <d v="2026-03-26T09:18:00"/>
    <d v="2026-03-31T04:30:00"/>
    <d v="2026-03-26T13:18:00"/>
    <d v="2026-03-29T00:00:00"/>
    <x v="4"/>
    <x v="8"/>
    <n v="36.299999999755528"/>
    <s v="No"/>
    <n v="4.8000000000029104"/>
    <x v="1"/>
    <s v="Ineffective"/>
    <n v="4.0000000001164153"/>
    <n v="2"/>
    <n v="10"/>
    <n v="0.2"/>
  </r>
  <r>
    <s v="VH1091"/>
    <x v="1"/>
    <x v="3"/>
    <d v="2026-04-15T11:30:00"/>
    <d v="2026-04-18T00:24:00"/>
    <d v="2026-04-19T12:24:00"/>
    <d v="2026-04-27T12:24:00"/>
    <d v="2026-04-20T10:00:00"/>
    <d v="2026-04-27T00:00:00"/>
    <x v="3"/>
    <x v="4"/>
    <n v="60.900000000314321"/>
    <s v="Not Applicable"/>
    <n v="8"/>
    <x v="1"/>
    <s v="Not Applicable"/>
    <n v="21.599999999685679"/>
    <n v="2"/>
    <n v="9"/>
    <n v="0.22222222222222221"/>
  </r>
  <r>
    <s v="VH1092"/>
    <x v="1"/>
    <x v="0"/>
    <d v="2026-03-26T08:15:00"/>
    <d v="2026-03-30T05:57:00"/>
    <d v="2026-03-30T09:57:00"/>
    <d v="2026-04-03T21:57:00"/>
    <d v="2026-03-30T09:57:00"/>
    <d v="2026-04-02T00:00:00"/>
    <x v="4"/>
    <x v="1"/>
    <n v="93.700000000011642"/>
    <s v="Not Applicable"/>
    <n v="4.5"/>
    <x v="1"/>
    <s v="Not Applicable"/>
    <n v="0"/>
    <n v="2"/>
    <n v="8"/>
    <n v="0.25"/>
  </r>
  <r>
    <s v="VH1093"/>
    <x v="0"/>
    <x v="0"/>
    <d v="2026-01-09T15:45:00"/>
    <d v="2026-01-10T22:33:00"/>
    <d v="2026-01-10T22:33:00"/>
    <d v="2026-01-12T17:45:00"/>
    <d v="2026-01-11T08:15:00"/>
    <d v="2026-01-12T00:00:00"/>
    <x v="0"/>
    <x v="2"/>
    <n v="30.799999999988358"/>
    <s v="No"/>
    <n v="1.8000000000101863"/>
    <x v="0"/>
    <s v="Effective"/>
    <n v="9.7000000000116415"/>
    <n v="2"/>
    <n v="7"/>
    <n v="0.2857142857142857"/>
  </r>
  <r>
    <s v="VH1094"/>
    <x v="0"/>
    <x v="3"/>
    <d v="2026-01-04T08:45:00"/>
    <d v="2026-01-05T18:51:00"/>
    <d v="2026-01-05T18:51:00"/>
    <d v="2026-01-08T06:51:00"/>
    <d v="2026-01-06T11:15:00"/>
    <d v="2026-01-07T00:00:00"/>
    <x v="0"/>
    <x v="8"/>
    <n v="34.099999999918509"/>
    <s v="No"/>
    <n v="2.5"/>
    <x v="0"/>
    <s v="Effective"/>
    <n v="16.39999999984866"/>
    <n v="1"/>
    <n v="6"/>
    <n v="0.16666666666666666"/>
  </r>
  <r>
    <s v="VH1095"/>
    <x v="0"/>
    <x v="0"/>
    <d v="2026-02-05T17:30:00"/>
    <d v="2026-02-06T14:06:00"/>
    <d v="2026-02-06T22:06:00"/>
    <d v="2026-02-12T22:06:00"/>
    <d v="2026-02-07T08:00:00"/>
    <d v="2026-02-12T00:00:00"/>
    <x v="4"/>
    <x v="2"/>
    <n v="20.600000000267755"/>
    <s v="No"/>
    <n v="6"/>
    <x v="1"/>
    <s v="Ineffective"/>
    <n v="9.9000000003143214"/>
    <n v="0"/>
    <n v="5"/>
    <n v="0"/>
  </r>
  <r>
    <s v="VH1096"/>
    <x v="1"/>
    <x v="1"/>
    <d v="2026-04-21T11:45:00"/>
    <d v="2026-04-23T03:39:00"/>
    <d v="2026-04-23T11:39:00"/>
    <d v="2026-04-28T02:03:00"/>
    <d v="2026-04-23T11:00:00"/>
    <d v="2026-04-26T00:00:00"/>
    <x v="5"/>
    <x v="9"/>
    <n v="39.899999999615829"/>
    <s v="Not Applicable"/>
    <n v="4.5999999999985448"/>
    <x v="1"/>
    <s v="Not Applicable"/>
    <n v="-0.64999999984866008"/>
    <n v="0"/>
    <n v="4"/>
    <n v="0"/>
  </r>
  <r>
    <s v="VH1097"/>
    <x v="0"/>
    <x v="3"/>
    <d v="2026-01-20T15:00:00"/>
    <d v="2026-01-21T23:00:00"/>
    <d v="2026-01-22T23:00:00"/>
    <d v="2026-01-27T15:48:00"/>
    <d v="2026-01-23T03:00:00"/>
    <d v="2026-01-26T00:00:00"/>
    <x v="2"/>
    <x v="8"/>
    <n v="32.000000000232831"/>
    <s v="No"/>
    <n v="4.6999999999898137"/>
    <x v="1"/>
    <s v="Ineffective"/>
    <n v="3.9999999997671694"/>
    <n v="0"/>
    <n v="3"/>
    <n v="0"/>
  </r>
  <r>
    <s v="VH1098"/>
    <x v="1"/>
    <x v="4"/>
    <d v="2026-03-13T13:00:00"/>
    <d v="2026-03-14T06:06:00"/>
    <d v="2026-03-15T06:06:00"/>
    <d v="2026-03-21T15:42:00"/>
    <d v="2026-03-15T11:30:00"/>
    <d v="2026-03-19T00:00:00"/>
    <x v="1"/>
    <x v="9"/>
    <n v="17.100000000384171"/>
    <s v="Not Applicable"/>
    <n v="6.3999999999941792"/>
    <x v="1"/>
    <s v="Not Applicable"/>
    <n v="5.3999999996158294"/>
    <n v="0"/>
    <n v="2"/>
    <n v="0"/>
  </r>
  <r>
    <s v="VH1099"/>
    <x v="1"/>
    <x v="0"/>
    <d v="2026-03-15T16:15:00"/>
    <d v="2026-03-18T13:27:00"/>
    <d v="2026-03-18T13:27:00"/>
    <d v="2026-03-24T15:51:00"/>
    <d v="2026-03-20T11:00:00"/>
    <d v="2026-03-25T00:00:00"/>
    <x v="1"/>
    <x v="7"/>
    <n v="69.199999999778811"/>
    <s v="Not Applicable"/>
    <n v="6.1000000000058208"/>
    <x v="1"/>
    <s v="Not Applicable"/>
    <n v="45.550000000221189"/>
    <n v="0"/>
    <n v="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661E84-86F7-42C6-8D04-09EF462D8C1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6:H30" firstHeaderRow="1" firstDataRow="1" firstDataCol="1"/>
  <pivotFields count="20">
    <pivotField showAll="0"/>
    <pivotField showAll="0">
      <items count="3">
        <item h="1" x="0"/>
        <item x="1"/>
        <item t="default"/>
      </items>
    </pivotField>
    <pivotField axis="axisRow" showAll="0">
      <items count="7">
        <item x="0"/>
        <item x="3"/>
        <item x="2"/>
        <item x="5"/>
        <item x="4"/>
        <item x="1"/>
        <item t="default"/>
      </items>
    </pivotField>
    <pivotField numFmtId="164" showAll="0"/>
    <pivotField numFmtId="164" showAll="0"/>
    <pivotField numFmtId="164" showAll="0"/>
    <pivotField numFmtId="164" showAll="0"/>
    <pivotField showAll="0"/>
    <pivotField showAll="0"/>
    <pivotField showAll="0"/>
    <pivotField showAll="0">
      <items count="11">
        <item h="1" x="3"/>
        <item h="1" x="2"/>
        <item h="1" x="6"/>
        <item h="1" x="1"/>
        <item h="1" x="0"/>
        <item h="1" x="8"/>
        <item h="1" x="7"/>
        <item h="1" x="5"/>
        <item x="4"/>
        <item h="1" x="9"/>
        <item t="default"/>
      </items>
    </pivotField>
    <pivotField numFmtId="2" showAll="0"/>
    <pivotField showAll="0"/>
    <pivotField dataField="1" showAll="0"/>
    <pivotField showAll="0">
      <items count="3">
        <item h="1" x="0"/>
        <item x="1"/>
        <item t="default"/>
      </items>
    </pivotField>
    <pivotField showAll="0"/>
    <pivotField showAll="0"/>
    <pivotField showAll="0"/>
    <pivotField showAll="0"/>
    <pivotField numFmtId="166" showAll="0"/>
  </pivotFields>
  <rowFields count="1">
    <field x="2"/>
  </rowFields>
  <rowItems count="4">
    <i>
      <x/>
    </i>
    <i>
      <x v="1"/>
    </i>
    <i>
      <x v="5"/>
    </i>
    <i t="grand">
      <x/>
    </i>
  </rowItems>
  <colItems count="1">
    <i/>
  </colItems>
  <dataFields count="1">
    <dataField name="Average of Total_VOR_Days" fld="13"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57777C-B7BB-4DD5-AE74-121281273483}" name="PT_KPI_Summ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0:H21" firstHeaderRow="0" firstDataRow="1" firstDataCol="0"/>
  <pivotFields count="20">
    <pivotField dataField="1" showAll="0"/>
    <pivotField showAll="0">
      <items count="3">
        <item h="1" x="0"/>
        <item x="1"/>
        <item t="default"/>
      </items>
    </pivotField>
    <pivotField showAll="0"/>
    <pivotField numFmtId="164" showAll="0"/>
    <pivotField numFmtId="164" showAll="0"/>
    <pivotField numFmtId="164" showAll="0"/>
    <pivotField numFmtId="164" showAll="0"/>
    <pivotField showAll="0"/>
    <pivotField showAll="0"/>
    <pivotField showAll="0"/>
    <pivotField showAll="0">
      <items count="11">
        <item h="1" x="3"/>
        <item h="1" x="2"/>
        <item h="1" x="6"/>
        <item h="1" x="1"/>
        <item h="1" x="0"/>
        <item h="1" x="8"/>
        <item h="1" x="7"/>
        <item h="1" x="5"/>
        <item x="4"/>
        <item h="1" x="9"/>
        <item t="default"/>
      </items>
    </pivotField>
    <pivotField dataField="1" numFmtId="2" showAll="0"/>
    <pivotField showAll="0"/>
    <pivotField dataField="1" showAll="0"/>
    <pivotField showAll="0">
      <items count="3">
        <item h="1" x="0"/>
        <item x="1"/>
        <item t="default"/>
      </items>
    </pivotField>
    <pivotField showAll="0"/>
    <pivotField showAll="0"/>
    <pivotField showAll="0"/>
    <pivotField showAll="0"/>
    <pivotField numFmtId="166" showAll="0"/>
  </pivotFields>
  <rowItems count="1">
    <i/>
  </rowItems>
  <colFields count="1">
    <field x="-2"/>
  </colFields>
  <colItems count="3">
    <i>
      <x/>
    </i>
    <i i="1">
      <x v="1"/>
    </i>
    <i i="2">
      <x v="2"/>
    </i>
  </colItems>
  <dataFields count="3">
    <dataField name="Count of Vehicle_ID" fld="0" subtotal="count" baseField="0" baseItem="0"/>
    <dataField name="Average of Total_VOR_Days" fld="13" subtotal="average" baseField="0" baseItem="0" numFmtId="165"/>
    <dataField name="Average of Hours_To_Book" fld="11"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DDBC70-B4BE-44DA-BD4A-C16CB6F7C5E4}" name="PT_Delay_Reason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0:C25" firstHeaderRow="1" firstDataRow="1" firstDataCol="1"/>
  <pivotFields count="20">
    <pivotField dataField="1" showAll="0"/>
    <pivotField multipleItemSelectionAllowed="1" showAll="0">
      <items count="3">
        <item h="1" x="0"/>
        <item x="1"/>
        <item t="default"/>
      </items>
    </pivotField>
    <pivotField showAll="0"/>
    <pivotField numFmtId="164" showAll="0"/>
    <pivotField numFmtId="164" showAll="0"/>
    <pivotField numFmtId="164" showAll="0"/>
    <pivotField numFmtId="164" showAll="0"/>
    <pivotField showAll="0"/>
    <pivotField showAll="0"/>
    <pivotField axis="axisRow" showAll="0">
      <items count="7">
        <item x="4"/>
        <item x="2"/>
        <item x="3"/>
        <item x="0"/>
        <item x="5"/>
        <item x="1"/>
        <item t="default"/>
      </items>
    </pivotField>
    <pivotField multipleItemSelectionAllowed="1" showAll="0">
      <items count="11">
        <item h="1" x="3"/>
        <item h="1" x="2"/>
        <item h="1" x="6"/>
        <item h="1" x="1"/>
        <item h="1" x="0"/>
        <item h="1" x="8"/>
        <item h="1" x="7"/>
        <item h="1" x="5"/>
        <item x="4"/>
        <item h="1" x="9"/>
        <item t="default"/>
      </items>
    </pivotField>
    <pivotField numFmtId="2" showAll="0"/>
    <pivotField showAll="0"/>
    <pivotField showAll="0"/>
    <pivotField showAll="0">
      <items count="3">
        <item h="1" x="0"/>
        <item x="1"/>
        <item t="default"/>
      </items>
    </pivotField>
    <pivotField showAll="0"/>
    <pivotField showAll="0"/>
    <pivotField showAll="0"/>
    <pivotField showAll="0"/>
    <pivotField numFmtId="166" showAll="0"/>
  </pivotFields>
  <rowFields count="1">
    <field x="9"/>
  </rowFields>
  <rowItems count="5">
    <i>
      <x/>
    </i>
    <i>
      <x v="2"/>
    </i>
    <i>
      <x v="4"/>
    </i>
    <i>
      <x v="5"/>
    </i>
    <i t="grand">
      <x/>
    </i>
  </rowItems>
  <colItems count="1">
    <i/>
  </colItems>
  <dataFields count="1">
    <dataField name="Count of Vehicl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7B0BD3-97C2-48BC-9A23-CBEE1C216117}" name="PT_Garage_VO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5:G7" firstHeaderRow="1" firstDataRow="1" firstDataCol="1"/>
  <pivotFields count="20">
    <pivotField showAll="0"/>
    <pivotField showAll="0">
      <items count="3">
        <item h="1" x="0"/>
        <item x="1"/>
        <item t="default"/>
      </items>
    </pivotField>
    <pivotField showAll="0"/>
    <pivotField numFmtId="164" showAll="0"/>
    <pivotField numFmtId="164" showAll="0"/>
    <pivotField numFmtId="164" showAll="0"/>
    <pivotField numFmtId="164" showAll="0"/>
    <pivotField showAll="0"/>
    <pivotField showAll="0"/>
    <pivotField showAll="0"/>
    <pivotField axis="axisRow" showAll="0" sortType="descending">
      <items count="11">
        <item h="1" x="9"/>
        <item x="4"/>
        <item h="1" x="5"/>
        <item h="1" x="7"/>
        <item h="1" x="8"/>
        <item h="1" x="0"/>
        <item h="1" x="1"/>
        <item h="1" x="6"/>
        <item h="1" x="2"/>
        <item h="1" x="3"/>
        <item t="default"/>
      </items>
    </pivotField>
    <pivotField numFmtId="2" showAll="0"/>
    <pivotField showAll="0"/>
    <pivotField dataField="1" showAll="0"/>
    <pivotField showAll="0">
      <items count="3">
        <item h="1" x="0"/>
        <item x="1"/>
        <item t="default"/>
      </items>
    </pivotField>
    <pivotField showAll="0"/>
    <pivotField showAll="0"/>
    <pivotField showAll="0"/>
    <pivotField showAll="0"/>
    <pivotField numFmtId="166" showAll="0"/>
  </pivotFields>
  <rowFields count="1">
    <field x="10"/>
  </rowFields>
  <rowItems count="2">
    <i>
      <x v="1"/>
    </i>
    <i t="grand">
      <x/>
    </i>
  </rowItems>
  <colItems count="1">
    <i/>
  </colItems>
  <dataFields count="1">
    <dataField name="Count of Total_VOR_Days" fld="13" subtotal="count" baseField="10" baseItem="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3DCB6EB-A694-4FCE-8122-8F9E3271AF1B}" name="PT_VOR_SLA"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C7" firstHeaderRow="1" firstDataRow="1" firstDataCol="1"/>
  <pivotFields count="20">
    <pivotField dataField="1" showAll="0"/>
    <pivotField showAll="0">
      <items count="3">
        <item h="1" x="0"/>
        <item x="1"/>
        <item t="default"/>
      </items>
    </pivotField>
    <pivotField showAll="0"/>
    <pivotField numFmtId="164" showAll="0"/>
    <pivotField numFmtId="164" showAll="0"/>
    <pivotField numFmtId="164" showAll="0"/>
    <pivotField numFmtId="164" showAll="0"/>
    <pivotField showAll="0"/>
    <pivotField showAll="0"/>
    <pivotField showAll="0"/>
    <pivotField showAll="0">
      <items count="11">
        <item h="1" x="3"/>
        <item h="1" x="2"/>
        <item h="1" x="6"/>
        <item h="1" x="1"/>
        <item h="1" x="0"/>
        <item h="1" x="8"/>
        <item h="1" x="7"/>
        <item h="1" x="5"/>
        <item x="4"/>
        <item h="1" x="9"/>
        <item t="default"/>
      </items>
    </pivotField>
    <pivotField numFmtId="2" showAll="0"/>
    <pivotField showAll="0"/>
    <pivotField showAll="0"/>
    <pivotField axis="axisRow" showAll="0">
      <items count="3">
        <item h="1" x="0"/>
        <item x="1"/>
        <item t="default"/>
      </items>
    </pivotField>
    <pivotField showAll="0"/>
    <pivotField showAll="0"/>
    <pivotField showAll="0"/>
    <pivotField showAll="0"/>
    <pivotField numFmtId="166" showAll="0"/>
  </pivotFields>
  <rowFields count="1">
    <field x="14"/>
  </rowFields>
  <rowItems count="2">
    <i>
      <x v="1"/>
    </i>
    <i t="grand">
      <x/>
    </i>
  </rowItems>
  <colItems count="1">
    <i/>
  </colItems>
  <dataFields count="1">
    <dataField name="Count of Vehicl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Type" xr10:uid="{C5EC28E2-C290-4EC1-BDF0-4FD2A09F2798}" sourceName="Vehicle_Type">
  <pivotTables>
    <pivotTable tabId="9" name="PT_VOR_SLA"/>
    <pivotTable tabId="9" name="PT_Delay_Reasons"/>
    <pivotTable tabId="9" name="PT_Garage_VOR"/>
    <pivotTable tabId="9" name="PT_KPI_Summary"/>
    <pivotTable tabId="9" name="PivotTable3"/>
  </pivotTables>
  <data>
    <tabular pivotCacheId="380791044">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OR_SLA_Breached?" xr10:uid="{D3981A9D-FC6C-474F-8399-E9925B875B3A}" sourceName="VOR_SLA_Breached?">
  <pivotTables>
    <pivotTable tabId="9" name="PT_VOR_SLA"/>
    <pivotTable tabId="9" name="PT_Delay_Reasons"/>
    <pivotTable tabId="9" name="PT_Garage_VOR"/>
    <pivotTable tabId="9" name="PT_KPI_Summary"/>
    <pivotTable tabId="9" name="PivotTable3"/>
  </pivotTables>
  <data>
    <tabular pivotCacheId="380791044">
      <items count="2">
        <i x="0"/>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arage_Name" xr10:uid="{E6B8F9C5-D75B-4E8F-8790-20DB920EFE98}" sourceName="Garage_Name">
  <pivotTables>
    <pivotTable tabId="9" name="PT_Garage_VOR"/>
    <pivotTable tabId="9" name="PT_Delay_Reasons"/>
    <pivotTable tabId="9" name="PT_KPI_Summary"/>
    <pivotTable tabId="9" name="PT_VOR_SLA"/>
    <pivotTable tabId="9" name="PivotTable3"/>
  </pivotTables>
  <data>
    <tabular pivotCacheId="380791044">
      <items count="10">
        <i x="3"/>
        <i x="2"/>
        <i x="6"/>
        <i x="1"/>
        <i x="8"/>
        <i x="7"/>
        <i x="5"/>
        <i x="4" s="1"/>
        <i x="9"/>
        <i x="0"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hicle_Type" xr10:uid="{E3642F9A-B3E9-4D0C-881E-D681AD091375}" cache="Slicer_Vehicle_Type" caption="Vehicle_Type" rowHeight="241300"/>
  <slicer name="VOR_SLA_Breached?" xr10:uid="{10264D35-7669-4140-A121-D08DC5F36284}" cache="Slicer_VOR_SLA_Breached?" caption="VOR_SLA_Breached?" rowHeight="241300"/>
  <slicer name="Garage_Name" xr10:uid="{A5AC57F7-8417-4832-A433-A1470DEBF2A1}" cache="Slicer_Garage_Name" caption="Garage_Name" startItem="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9880813-0AA7-4209-BCB9-A1AC2A217C89}" name="Table5" displayName="Table5" ref="A1:N102" totalsRowShown="0" headerRowDxfId="10" tableBorderDxfId="9">
  <autoFilter ref="A1:N102" xr:uid="{D9880813-0AA7-4209-BCB9-A1AC2A217C89}"/>
  <tableColumns count="14">
    <tableColumn id="1" xr3:uid="{F50D1306-2FE1-4A52-A528-6EB843A17553}" name="Vehicle_ID"/>
    <tableColumn id="2" xr3:uid="{DE2E612A-B8FF-4370-B9BE-75120412B025}" name="Vehicle_Type"/>
    <tableColumn id="3" xr3:uid="{FB1AA470-51D3-45D3-9178-F1076E4DF13E}" name="Make_Model"/>
    <tableColumn id="4" xr3:uid="{57802059-6BD7-459C-8FC0-871C7DBCF4F0}" name="Defect_Reported_DateTime"/>
    <tableColumn id="5" xr3:uid="{7EFD5B29-C4BD-4CF4-A4E4-103CD06BDBFD}" name="Garage_Booked_DateTime"/>
    <tableColumn id="6" xr3:uid="{517D4DB3-B260-4102-AAA6-0228EF43855D}" name="Garage_In_Date"/>
    <tableColumn id="7" xr3:uid="{3F1C3D3A-60D1-4CED-8A3F-F864B27E91C1}" name="Garage_Out_Date"/>
    <tableColumn id="8" xr3:uid="{0331DCDA-A17F-49B6-82A6-F5BC9F8397A2}" name="Actual_Repair_Start_Date"/>
    <tableColumn id="9" xr3:uid="{57FF45C0-5DFF-46E2-9703-1D1D0AE4DD64}" name="Estimated_Completion_Date"/>
    <tableColumn id="10" xr3:uid="{1415A57A-F7B0-4559-A23B-9FB7344A6737}" name="Primary_Delay_Reason"/>
    <tableColumn id="11" xr3:uid="{AC505FAF-FC41-484D-B01A-0E60884D524A}" name="MOT_Linked"/>
    <tableColumn id="12" xr3:uid="{0B0AC1C7-0714-4DFC-94CF-97A653244A2B}" name="Repeated_Defect_Last_30_Days"/>
    <tableColumn id="13" xr3:uid="{54ACD1F1-93AC-4EDF-9D01-2F860A5B11F1}" name="Garage_Name"/>
    <tableColumn id="14" xr3:uid="{0E15E28D-6EA1-4908-B702-935A8DA10526}" name="Column1" dataDxfId="8"/>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C3E279E-C834-41C1-B4E3-397DD16332E6}" name="Table8" displayName="Table8" ref="A1:S102" totalsRowCount="1" headerRowDxfId="51" dataDxfId="50" tableBorderDxfId="49">
  <autoFilter ref="A1:S101" xr:uid="{1C3E279E-C834-41C1-B4E3-397DD16332E6}"/>
  <tableColumns count="19">
    <tableColumn id="1" xr3:uid="{E2BB72A1-FF59-485C-988D-5ED9B074C202}" name="Vehicle_ID" dataDxfId="48" totalsRowDxfId="47"/>
    <tableColumn id="2" xr3:uid="{699A1765-7611-484C-9681-E10EAFBF1A2E}" name="Vehicle_Type" dataDxfId="46" totalsRowDxfId="45"/>
    <tableColumn id="3" xr3:uid="{CC6D4CA6-C1D0-4160-BC87-6D8C9FAA0E42}" name="Make_Model" dataDxfId="44" totalsRowDxfId="43"/>
    <tableColumn id="4" xr3:uid="{6BACE8D8-337A-47E8-9E0A-E9086DC0C093}" name="Defect_Reported_DateTime" dataDxfId="42" totalsRowDxfId="41"/>
    <tableColumn id="5" xr3:uid="{1A6BA0D0-CC2B-4C46-A027-679D29225FD5}" name="Garage_Booked_DateTime" dataDxfId="40" totalsRowDxfId="39"/>
    <tableColumn id="6" xr3:uid="{AF3D9BE3-108D-4134-B482-25F722D39360}" name="Garage_In_Date" dataDxfId="38" totalsRowDxfId="37"/>
    <tableColumn id="7" xr3:uid="{1C131A64-57D9-439B-AB85-48FC70202C2B}" name="Garage_Out_Date" dataDxfId="36" totalsRowDxfId="35"/>
    <tableColumn id="8" xr3:uid="{DE7BEB9E-C2DF-431D-B3D7-89318D71AAD2}" name="Actual_Repair_Start_Date" dataDxfId="34" totalsRowDxfId="33"/>
    <tableColumn id="9" xr3:uid="{7ECEF031-D5AD-42F2-87FF-BEF0D1B28E94}" name="Estimated_Completion_Date" dataDxfId="32" totalsRowDxfId="31"/>
    <tableColumn id="10" xr3:uid="{509ABB0E-864F-4799-A6F2-FDA0ADEC0E0A}" name="Primary_Delay_Reason" totalsRowFunction="custom" dataDxfId="30" totalsRowDxfId="29">
      <totalsRowFormula>AVERAGEIF(Table8[Primary_Delay_Reason],"Parts on Backorder",Table8[Total_VOR_Days])</totalsRowFormula>
    </tableColumn>
    <tableColumn id="11" xr3:uid="{8F49DBBF-25B2-45AD-8420-CC6C26A4AEE0}" name="Garage_Name" dataDxfId="28" totalsRowDxfId="27"/>
    <tableColumn id="12" xr3:uid="{140660A4-6CE7-405D-896D-88C442B2BFF9}" name="Hours_To_Book" dataDxfId="26" totalsRowDxfId="25">
      <calculatedColumnFormula>(Table8[[#This Row],[Garage_Booked_DateTime]] - Table8[[#This Row],[Defect_Reported_DateTime]])*24</calculatedColumnFormula>
    </tableColumn>
    <tableColumn id="13" xr3:uid="{C9287C02-F0D4-4533-97A5-A12EE8CD845E}" name="Booking_SLA_Breached?" dataDxfId="24" totalsRowDxfId="23">
      <calculatedColumnFormula>IF(Table8[[#This Row],[Vehicle_Type]]&lt;&gt;"Specialised", "Not Applicable", IF(Table8[[#This Row],[Hours_To_Book]]&gt;48, "Yes", "No"))</calculatedColumnFormula>
    </tableColumn>
    <tableColumn id="14" xr3:uid="{00D5BD2D-E24D-46FF-A480-6B922F2010AA}" name="Total_VOR_Days" dataDxfId="22" totalsRowDxfId="21">
      <calculatedColumnFormula>(Table8[[#This Row],[Garage_Out_Date]]-Table8[[#This Row],[Garage_In_Date]])</calculatedColumnFormula>
    </tableColumn>
    <tableColumn id="15" xr3:uid="{F484B604-7836-440E-9E6C-D4A97D35AA31}" name="VOR_SLA_Breached?" dataDxfId="20" totalsRowDxfId="19">
      <calculatedColumnFormula>IF(Table8[[#This Row],[Total_VOR_Days]] &gt;3.5, "Yes", "No")</calculatedColumnFormula>
    </tableColumn>
    <tableColumn id="16" xr3:uid="{E8BD110C-80CC-40ED-8ED3-6627C9220E23}" name="Specialist_Priority_Effectiveness" dataDxfId="18" totalsRowDxfId="17">
      <calculatedColumnFormula>IF(Table8[[#This Row],[Vehicle_Type]] &lt;&gt; "Specialised", "Not Applicable", IF(AND(Table8[[#This Row],[Hours_To_Book]] &lt;=48, Table8[[#This Row],[Total_VOR_Days]] &gt;3.5), "Ineffective", "Effective"))</calculatedColumnFormula>
    </tableColumn>
    <tableColumn id="18" xr3:uid="{B291D45F-0549-4081-91A4-DF12ABEAAD82}" name="Hours_To_Start_Repair" dataDxfId="16" totalsRowDxfId="15">
      <calculatedColumnFormula>IF(OR(Table8[[#This Row],[Garage_In_Date]]="",Table8[[#This Row],[Actual_Repair_Start_Date]]=""),"N/A",(Table8[[#This Row],[Actual_Repair_Start_Date]]-Table8[[#This Row],[Garage_In_Date]])*24)</calculatedColumnFormula>
    </tableColumn>
    <tableColumn id="17" xr3:uid="{264AE297-ACB4-4618-8EE0-F73B1232ADAB}" name="MOT_Linked (XLOOKUP)" dataDxfId="14" totalsRowDxfId="13">
      <calculatedColumnFormula>_xlfn.XLOOKUP(Table8[[#This Row],[Vehicle_ID]],Table5[Vehicle_ID],Table5[MOT_Linked],"Not Found")</calculatedColumnFormula>
    </tableColumn>
    <tableColumn id="19" xr3:uid="{1CFA0F02-9033-486D-95AB-614EB182C420}" name="Column1" dataDxfId="12" totalsRowDxfId="11"/>
  </tableColumns>
  <tableStyleInfo name="TableStyleLight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2"/>
  <sheetViews>
    <sheetView topLeftCell="D1" zoomScale="84" zoomScaleNormal="84" workbookViewId="0">
      <pane ySplit="1" topLeftCell="A3" activePane="bottomLeft" state="frozen"/>
      <selection pane="bottomLeft" activeCell="F19" sqref="F19"/>
    </sheetView>
  </sheetViews>
  <sheetFormatPr defaultRowHeight="14.25"/>
  <cols>
    <col min="1" max="1" width="12" customWidth="1"/>
    <col min="2" max="2" width="14.125" customWidth="1"/>
    <col min="3" max="3" width="18" customWidth="1"/>
    <col min="4" max="4" width="26.25" customWidth="1"/>
    <col min="5" max="5" width="25.5" customWidth="1"/>
    <col min="6" max="6" width="22" style="4" customWidth="1"/>
    <col min="7" max="7" width="17.875" style="1" customWidth="1"/>
    <col min="8" max="8" width="24.875" style="1" customWidth="1"/>
    <col min="9" max="9" width="26.75" style="1" customWidth="1"/>
    <col min="10" max="10" width="25.375" style="1" customWidth="1"/>
    <col min="11" max="11" width="20.25" style="1" customWidth="1"/>
    <col min="12" max="12" width="30.5" customWidth="1"/>
    <col min="13" max="13" width="21.125" customWidth="1"/>
    <col min="14" max="15" width="22" customWidth="1"/>
    <col min="16" max="16" width="32" customWidth="1"/>
    <col min="17" max="17" width="26" customWidth="1"/>
  </cols>
  <sheetData>
    <row r="1" spans="1:17" ht="45" customHeight="1">
      <c r="A1" s="19" t="s">
        <v>0</v>
      </c>
      <c r="B1" s="19" t="s">
        <v>1</v>
      </c>
      <c r="C1" s="19" t="s">
        <v>2</v>
      </c>
      <c r="D1" s="19" t="s">
        <v>3</v>
      </c>
      <c r="E1" s="19" t="s">
        <v>4</v>
      </c>
      <c r="F1" s="20" t="s">
        <v>5</v>
      </c>
      <c r="G1" s="20" t="s">
        <v>6</v>
      </c>
      <c r="H1" s="20" t="s">
        <v>10</v>
      </c>
      <c r="I1" s="20" t="s">
        <v>11</v>
      </c>
      <c r="J1" s="20" t="s">
        <v>12</v>
      </c>
      <c r="K1" s="19" t="s">
        <v>7</v>
      </c>
      <c r="L1" s="19" t="s">
        <v>8</v>
      </c>
      <c r="M1" s="21" t="s">
        <v>9</v>
      </c>
      <c r="N1" s="17" t="s">
        <v>158</v>
      </c>
      <c r="O1" s="17"/>
      <c r="P1" s="17"/>
      <c r="Q1" s="17"/>
    </row>
    <row r="2" spans="1:17" ht="28.5" customHeight="1">
      <c r="A2" s="22" t="s">
        <v>13</v>
      </c>
      <c r="B2" s="22" t="s">
        <v>14</v>
      </c>
      <c r="C2" s="22" t="s">
        <v>15</v>
      </c>
      <c r="D2" s="23">
        <v>46035.5625</v>
      </c>
      <c r="E2" s="23">
        <v>46036.258333333331</v>
      </c>
      <c r="F2" s="23">
        <v>46038.258333333331</v>
      </c>
      <c r="G2" s="23">
        <v>46040.258333333331</v>
      </c>
      <c r="H2" s="23">
        <v>46038.354166666657</v>
      </c>
      <c r="I2" s="23">
        <v>46039</v>
      </c>
      <c r="J2" s="23" t="s">
        <v>19</v>
      </c>
      <c r="K2" s="22" t="s">
        <v>16</v>
      </c>
      <c r="L2" s="22" t="s">
        <v>17</v>
      </c>
      <c r="M2" s="24" t="s">
        <v>18</v>
      </c>
      <c r="N2" s="1"/>
      <c r="O2" s="3"/>
    </row>
    <row r="3" spans="1:17">
      <c r="A3" s="25" t="s">
        <v>20</v>
      </c>
      <c r="B3" s="25" t="s">
        <v>21</v>
      </c>
      <c r="C3" s="25" t="s">
        <v>22</v>
      </c>
      <c r="D3" s="26">
        <v>46102.552083333343</v>
      </c>
      <c r="E3" s="26">
        <v>46104.76458333333</v>
      </c>
      <c r="F3" s="26">
        <v>46104.931250000001</v>
      </c>
      <c r="G3" s="26">
        <v>46108.53125</v>
      </c>
      <c r="H3" s="26">
        <v>46105.097916666673</v>
      </c>
      <c r="I3" s="26">
        <v>46108</v>
      </c>
      <c r="J3" s="26" t="s">
        <v>24</v>
      </c>
      <c r="K3" s="25" t="s">
        <v>17</v>
      </c>
      <c r="L3" s="25" t="s">
        <v>17</v>
      </c>
      <c r="M3" s="27" t="s">
        <v>23</v>
      </c>
      <c r="N3" s="1"/>
      <c r="O3" s="3"/>
    </row>
    <row r="4" spans="1:17" ht="28.5">
      <c r="A4" s="22" t="s">
        <v>25</v>
      </c>
      <c r="B4" s="22" t="s">
        <v>21</v>
      </c>
      <c r="C4" s="22" t="s">
        <v>26</v>
      </c>
      <c r="D4" s="23">
        <v>46081.552083333343</v>
      </c>
      <c r="E4" s="23">
        <v>46083.414583333331</v>
      </c>
      <c r="F4" s="23">
        <v>46083.747916666667</v>
      </c>
      <c r="G4" s="23">
        <v>46088.947916666657</v>
      </c>
      <c r="H4" s="23">
        <v>46083.914583333331</v>
      </c>
      <c r="I4" s="23">
        <v>46087</v>
      </c>
      <c r="J4" s="23" t="s">
        <v>28</v>
      </c>
      <c r="K4" s="22" t="s">
        <v>17</v>
      </c>
      <c r="L4" s="22" t="s">
        <v>16</v>
      </c>
      <c r="M4" s="24" t="s">
        <v>27</v>
      </c>
      <c r="N4" s="1"/>
      <c r="O4" s="3"/>
    </row>
    <row r="5" spans="1:17" ht="28.5">
      <c r="A5" s="25" t="s">
        <v>29</v>
      </c>
      <c r="B5" s="25" t="s">
        <v>14</v>
      </c>
      <c r="C5" s="25" t="s">
        <v>30</v>
      </c>
      <c r="D5" s="26">
        <v>46082.604166666657</v>
      </c>
      <c r="E5" s="26">
        <v>46084.316666666673</v>
      </c>
      <c r="F5" s="26">
        <v>46085.816666666673</v>
      </c>
      <c r="G5" s="26">
        <v>46089.816666666673</v>
      </c>
      <c r="H5" s="26">
        <v>46085.98333333333</v>
      </c>
      <c r="I5" s="26">
        <v>46088</v>
      </c>
      <c r="J5" s="26" t="s">
        <v>28</v>
      </c>
      <c r="K5" s="25" t="s">
        <v>17</v>
      </c>
      <c r="L5" s="25" t="s">
        <v>17</v>
      </c>
      <c r="M5" s="27" t="s">
        <v>31</v>
      </c>
      <c r="N5" s="1"/>
      <c r="O5" s="3"/>
    </row>
    <row r="6" spans="1:17" ht="28.5" customHeight="1">
      <c r="A6" s="22" t="s">
        <v>32</v>
      </c>
      <c r="B6" s="22" t="s">
        <v>14</v>
      </c>
      <c r="C6" s="22" t="s">
        <v>30</v>
      </c>
      <c r="D6" s="23">
        <v>46031.479166666657</v>
      </c>
      <c r="E6" s="23">
        <v>46032.783333333333</v>
      </c>
      <c r="F6" s="23">
        <v>46034.783333333333</v>
      </c>
      <c r="G6" s="23">
        <v>46041.283333333333</v>
      </c>
      <c r="H6" s="23">
        <v>46035.354166666657</v>
      </c>
      <c r="I6" s="23">
        <v>46039</v>
      </c>
      <c r="J6" s="23" t="s">
        <v>33</v>
      </c>
      <c r="K6" s="22" t="s">
        <v>17</v>
      </c>
      <c r="L6" s="22" t="s">
        <v>17</v>
      </c>
      <c r="M6" s="24" t="s">
        <v>18</v>
      </c>
      <c r="N6" s="1"/>
      <c r="O6" s="3"/>
    </row>
    <row r="7" spans="1:17" ht="51.75" customHeight="1">
      <c r="A7" s="25" t="s">
        <v>34</v>
      </c>
      <c r="B7" s="25" t="s">
        <v>21</v>
      </c>
      <c r="C7" s="25" t="s">
        <v>22</v>
      </c>
      <c r="D7" s="26">
        <v>46097.614583333343</v>
      </c>
      <c r="E7" s="26">
        <v>46097.947916666657</v>
      </c>
      <c r="F7" s="26">
        <v>46098.114583333343</v>
      </c>
      <c r="G7" s="26">
        <v>46107.51458333333</v>
      </c>
      <c r="H7" s="26">
        <v>46098.114583333343</v>
      </c>
      <c r="I7" s="26">
        <v>46106</v>
      </c>
      <c r="J7" s="26" t="s">
        <v>36</v>
      </c>
      <c r="K7" s="25" t="s">
        <v>16</v>
      </c>
      <c r="L7" s="25" t="s">
        <v>16</v>
      </c>
      <c r="M7" s="27" t="s">
        <v>35</v>
      </c>
      <c r="N7" s="1"/>
      <c r="O7" s="3"/>
    </row>
    <row r="8" spans="1:17">
      <c r="A8" s="22" t="s">
        <v>37</v>
      </c>
      <c r="B8" s="22" t="s">
        <v>21</v>
      </c>
      <c r="C8" s="22" t="s">
        <v>22</v>
      </c>
      <c r="D8" s="23">
        <v>46077.708333333343</v>
      </c>
      <c r="E8" s="23">
        <v>46079.074999999997</v>
      </c>
      <c r="F8" s="23">
        <v>46080.074999999997</v>
      </c>
      <c r="G8" s="23">
        <v>46086.074999999997</v>
      </c>
      <c r="H8" s="23">
        <v>46080.395833333343</v>
      </c>
      <c r="I8" s="23">
        <v>46085</v>
      </c>
      <c r="J8" s="23" t="s">
        <v>39</v>
      </c>
      <c r="K8" s="22" t="s">
        <v>17</v>
      </c>
      <c r="L8" s="22" t="s">
        <v>17</v>
      </c>
      <c r="M8" s="24" t="s">
        <v>38</v>
      </c>
      <c r="N8" s="1"/>
      <c r="O8" s="3"/>
    </row>
    <row r="9" spans="1:17" ht="28.5" customHeight="1">
      <c r="A9" s="25" t="s">
        <v>40</v>
      </c>
      <c r="B9" s="25" t="s">
        <v>21</v>
      </c>
      <c r="C9" s="25" t="s">
        <v>22</v>
      </c>
      <c r="D9" s="26">
        <v>46136.6875</v>
      </c>
      <c r="E9" s="26">
        <v>46139.074999999997</v>
      </c>
      <c r="F9" s="26">
        <v>46139.408333333333</v>
      </c>
      <c r="G9" s="26">
        <v>46141.808333333327</v>
      </c>
      <c r="H9" s="26">
        <v>46139.408333333333</v>
      </c>
      <c r="I9" s="26">
        <v>46140</v>
      </c>
      <c r="J9" s="26" t="s">
        <v>19</v>
      </c>
      <c r="K9" s="25" t="s">
        <v>17</v>
      </c>
      <c r="L9" s="25" t="s">
        <v>17</v>
      </c>
      <c r="M9" s="27" t="s">
        <v>18</v>
      </c>
      <c r="N9" s="1"/>
      <c r="O9" s="3"/>
    </row>
    <row r="10" spans="1:17">
      <c r="A10" s="22" t="s">
        <v>41</v>
      </c>
      <c r="B10" s="22" t="s">
        <v>21</v>
      </c>
      <c r="C10" s="22" t="s">
        <v>42</v>
      </c>
      <c r="D10" s="23">
        <v>46120.416666666657</v>
      </c>
      <c r="E10" s="23">
        <v>46123.237500000003</v>
      </c>
      <c r="F10" s="23">
        <v>46125.237500000003</v>
      </c>
      <c r="G10" s="23">
        <v>46128.237500000003</v>
      </c>
      <c r="H10" s="23">
        <v>46125.404166666667</v>
      </c>
      <c r="I10" s="23">
        <v>46128</v>
      </c>
      <c r="J10" s="23" t="s">
        <v>19</v>
      </c>
      <c r="K10" s="22" t="s">
        <v>16</v>
      </c>
      <c r="L10" s="22" t="s">
        <v>17</v>
      </c>
      <c r="M10" s="24" t="s">
        <v>27</v>
      </c>
      <c r="N10" s="1"/>
      <c r="O10" s="3"/>
    </row>
    <row r="11" spans="1:17" ht="28.5" customHeight="1">
      <c r="A11" s="25" t="s">
        <v>43</v>
      </c>
      <c r="B11" s="25" t="s">
        <v>21</v>
      </c>
      <c r="C11" s="25" t="s">
        <v>15</v>
      </c>
      <c r="D11" s="26">
        <v>46099.572916666657</v>
      </c>
      <c r="E11" s="26">
        <v>46103.956250000003</v>
      </c>
      <c r="F11" s="26">
        <v>46104.289583333331</v>
      </c>
      <c r="G11" s="26">
        <v>46109.089583333327</v>
      </c>
      <c r="H11" s="26">
        <v>46107.416666666657</v>
      </c>
      <c r="I11" s="26">
        <v>46110</v>
      </c>
      <c r="J11" s="26" t="s">
        <v>28</v>
      </c>
      <c r="K11" s="25" t="s">
        <v>17</v>
      </c>
      <c r="L11" s="25" t="s">
        <v>17</v>
      </c>
      <c r="M11" s="27" t="s">
        <v>44</v>
      </c>
      <c r="N11" s="1"/>
      <c r="O11" s="3"/>
    </row>
    <row r="12" spans="1:17" ht="36.75" customHeight="1">
      <c r="A12" s="22" t="s">
        <v>45</v>
      </c>
      <c r="B12" s="22" t="s">
        <v>21</v>
      </c>
      <c r="C12" s="22" t="s">
        <v>15</v>
      </c>
      <c r="D12" s="23">
        <v>46120.677083333343</v>
      </c>
      <c r="E12" s="23">
        <v>46123.689583333333</v>
      </c>
      <c r="F12" s="23">
        <v>46125.189583333333</v>
      </c>
      <c r="G12" s="23">
        <v>46130.989583333343</v>
      </c>
      <c r="H12" s="23">
        <v>46125.385416666657</v>
      </c>
      <c r="I12" s="23">
        <v>46130</v>
      </c>
      <c r="J12" s="23" t="s">
        <v>36</v>
      </c>
      <c r="K12" s="22" t="s">
        <v>17</v>
      </c>
      <c r="L12" s="22" t="s">
        <v>17</v>
      </c>
      <c r="M12" s="24" t="s">
        <v>27</v>
      </c>
      <c r="N12" s="1"/>
      <c r="O12" s="3"/>
    </row>
    <row r="13" spans="1:17" ht="27.75" customHeight="1">
      <c r="A13" s="25" t="s">
        <v>46</v>
      </c>
      <c r="B13" s="25" t="s">
        <v>14</v>
      </c>
      <c r="C13" s="25" t="s">
        <v>26</v>
      </c>
      <c r="D13" s="26">
        <v>46114.53125</v>
      </c>
      <c r="E13" s="26">
        <v>46116.252083333333</v>
      </c>
      <c r="F13" s="26">
        <v>46117.252083333333</v>
      </c>
      <c r="G13" s="26">
        <v>46121.352083333331</v>
      </c>
      <c r="H13" s="26">
        <v>46117.252083333333</v>
      </c>
      <c r="I13" s="26">
        <v>46119</v>
      </c>
      <c r="J13" s="26" t="s">
        <v>36</v>
      </c>
      <c r="K13" s="25" t="s">
        <v>17</v>
      </c>
      <c r="L13" s="25" t="s">
        <v>17</v>
      </c>
      <c r="M13" s="27" t="s">
        <v>31</v>
      </c>
      <c r="N13" s="1"/>
      <c r="O13" s="3"/>
    </row>
    <row r="14" spans="1:17" ht="28.5" customHeight="1">
      <c r="A14" s="22" t="s">
        <v>47</v>
      </c>
      <c r="B14" s="22" t="s">
        <v>21</v>
      </c>
      <c r="C14" s="22" t="s">
        <v>42</v>
      </c>
      <c r="D14" s="23">
        <v>46093.46875</v>
      </c>
      <c r="E14" s="23">
        <v>46097.197916666657</v>
      </c>
      <c r="F14" s="23">
        <v>46097.197916666657</v>
      </c>
      <c r="G14" s="23">
        <v>46101.497916666667</v>
      </c>
      <c r="H14" s="23">
        <v>46097.364583333343</v>
      </c>
      <c r="I14" s="23">
        <v>46100</v>
      </c>
      <c r="J14" s="23" t="s">
        <v>28</v>
      </c>
      <c r="K14" s="22"/>
      <c r="L14" s="22" t="s">
        <v>17</v>
      </c>
      <c r="M14" s="24" t="s">
        <v>48</v>
      </c>
      <c r="N14" s="1"/>
      <c r="O14" s="3"/>
    </row>
    <row r="15" spans="1:17" ht="27" customHeight="1">
      <c r="A15" s="25" t="s">
        <v>49</v>
      </c>
      <c r="B15" s="25" t="s">
        <v>14</v>
      </c>
      <c r="C15" s="25" t="s">
        <v>26</v>
      </c>
      <c r="D15" s="26">
        <v>46050.677083333343</v>
      </c>
      <c r="E15" s="26">
        <v>46051.76458333333</v>
      </c>
      <c r="F15" s="26">
        <v>46053.26458333333</v>
      </c>
      <c r="G15" s="26">
        <v>46053.76458333333</v>
      </c>
      <c r="H15" s="26">
        <v>46053.26458333333</v>
      </c>
      <c r="I15" s="26">
        <v>46053</v>
      </c>
      <c r="J15" s="26" t="s">
        <v>19</v>
      </c>
      <c r="K15" s="25" t="s">
        <v>17</v>
      </c>
      <c r="L15" s="25" t="s">
        <v>17</v>
      </c>
      <c r="M15" s="27" t="s">
        <v>38</v>
      </c>
      <c r="N15" s="1"/>
      <c r="O15" s="3"/>
    </row>
    <row r="16" spans="1:17" ht="22.5" customHeight="1">
      <c r="A16" s="22" t="s">
        <v>50</v>
      </c>
      <c r="B16" s="22" t="s">
        <v>14</v>
      </c>
      <c r="C16" s="22" t="s">
        <v>30</v>
      </c>
      <c r="D16" s="23">
        <v>46077.614583333343</v>
      </c>
      <c r="E16" s="23">
        <v>46078.902083333327</v>
      </c>
      <c r="F16" s="23">
        <v>46080.902083333327</v>
      </c>
      <c r="G16" s="23">
        <v>46084.602083333331</v>
      </c>
      <c r="H16" s="23">
        <v>46080.902083333327</v>
      </c>
      <c r="I16" s="23">
        <v>46082</v>
      </c>
      <c r="J16" s="23" t="s">
        <v>36</v>
      </c>
      <c r="K16" s="22" t="s">
        <v>16</v>
      </c>
      <c r="L16" s="22" t="s">
        <v>17</v>
      </c>
      <c r="M16" s="24" t="s">
        <v>38</v>
      </c>
      <c r="N16" s="1"/>
      <c r="O16" s="3"/>
    </row>
    <row r="17" spans="1:15" ht="24" customHeight="1">
      <c r="A17" s="25" t="s">
        <v>51</v>
      </c>
      <c r="B17" s="25" t="s">
        <v>21</v>
      </c>
      <c r="C17" s="25" t="s">
        <v>30</v>
      </c>
      <c r="D17" s="26">
        <v>46047.489583333343</v>
      </c>
      <c r="E17" s="26">
        <v>46050.152083333327</v>
      </c>
      <c r="F17" s="26">
        <v>46051.152083333327</v>
      </c>
      <c r="G17" s="26">
        <v>46056.352083333331</v>
      </c>
      <c r="H17" s="26">
        <v>46051.318749999999</v>
      </c>
      <c r="I17" s="26">
        <v>46056</v>
      </c>
      <c r="J17" s="26" t="s">
        <v>28</v>
      </c>
      <c r="K17" s="25" t="s">
        <v>17</v>
      </c>
      <c r="L17" s="25" t="s">
        <v>17</v>
      </c>
      <c r="M17" s="27" t="s">
        <v>27</v>
      </c>
      <c r="N17" s="1"/>
      <c r="O17" s="3"/>
    </row>
    <row r="18" spans="1:15" ht="22.5" customHeight="1">
      <c r="A18" s="22" t="s">
        <v>52</v>
      </c>
      <c r="B18" s="22" t="s">
        <v>21</v>
      </c>
      <c r="C18" s="22" t="s">
        <v>15</v>
      </c>
      <c r="D18" s="23">
        <v>46029.666666666657</v>
      </c>
      <c r="E18" s="23">
        <v>46034.012499999997</v>
      </c>
      <c r="F18" s="23">
        <v>46034.179166666669</v>
      </c>
      <c r="G18" s="23">
        <v>46037.479166666657</v>
      </c>
      <c r="H18" s="23">
        <v>46036.354166666657</v>
      </c>
      <c r="I18" s="23">
        <v>46035</v>
      </c>
      <c r="J18" s="23" t="s">
        <v>19</v>
      </c>
      <c r="K18" s="22" t="s">
        <v>17</v>
      </c>
      <c r="L18" s="22" t="s">
        <v>16</v>
      </c>
      <c r="M18" s="24" t="s">
        <v>31</v>
      </c>
      <c r="N18" s="1"/>
      <c r="O18" s="3"/>
    </row>
    <row r="19" spans="1:15" ht="28.5" customHeight="1">
      <c r="A19" s="25" t="s">
        <v>53</v>
      </c>
      <c r="B19" s="25" t="s">
        <v>14</v>
      </c>
      <c r="C19" s="25" t="s">
        <v>30</v>
      </c>
      <c r="D19" s="26">
        <v>46072.53125</v>
      </c>
      <c r="E19" s="26">
        <v>46073.618750000001</v>
      </c>
      <c r="F19" s="26">
        <v>46075.618750000001</v>
      </c>
      <c r="G19" s="26">
        <v>46082.818749999999</v>
      </c>
      <c r="H19" s="26"/>
      <c r="I19" s="26"/>
      <c r="J19" s="26" t="s">
        <v>54</v>
      </c>
      <c r="K19" s="25" t="s">
        <v>17</v>
      </c>
      <c r="L19" s="25" t="s">
        <v>17</v>
      </c>
      <c r="M19" s="27" t="s">
        <v>18</v>
      </c>
      <c r="N19" s="1"/>
      <c r="O19" s="3"/>
    </row>
    <row r="20" spans="1:15" ht="21.75" customHeight="1">
      <c r="A20" s="22" t="s">
        <v>55</v>
      </c>
      <c r="B20" s="22" t="s">
        <v>21</v>
      </c>
      <c r="C20" s="22" t="s">
        <v>30</v>
      </c>
      <c r="D20" s="23">
        <v>46030.708333333343</v>
      </c>
      <c r="E20" s="23">
        <v>46032.995833333327</v>
      </c>
      <c r="F20" s="23">
        <v>46034.495833333327</v>
      </c>
      <c r="G20" s="23">
        <v>46037.995833333327</v>
      </c>
      <c r="H20" s="23">
        <v>46036.4375</v>
      </c>
      <c r="I20" s="23">
        <v>46036</v>
      </c>
      <c r="J20" s="23" t="s">
        <v>19</v>
      </c>
      <c r="K20" s="22" t="s">
        <v>17</v>
      </c>
      <c r="L20" s="22" t="s">
        <v>17</v>
      </c>
      <c r="M20" s="24" t="s">
        <v>27</v>
      </c>
      <c r="N20" s="1"/>
      <c r="O20" s="3"/>
    </row>
    <row r="21" spans="1:15" ht="20.25" customHeight="1">
      <c r="A21" s="25" t="s">
        <v>56</v>
      </c>
      <c r="B21" s="25" t="s">
        <v>14</v>
      </c>
      <c r="C21" s="25" t="s">
        <v>42</v>
      </c>
      <c r="D21" s="26">
        <v>46031.708333333343</v>
      </c>
      <c r="E21" s="26">
        <v>46032.800000000003</v>
      </c>
      <c r="F21" s="26">
        <v>46033</v>
      </c>
      <c r="G21" s="26">
        <v>46035.7</v>
      </c>
      <c r="H21" s="26">
        <v>46033.166666666657</v>
      </c>
      <c r="I21" s="26">
        <v>46034</v>
      </c>
      <c r="J21" s="26" t="s">
        <v>19</v>
      </c>
      <c r="K21" s="25" t="s">
        <v>17</v>
      </c>
      <c r="L21" s="25" t="s">
        <v>17</v>
      </c>
      <c r="M21" s="27" t="s">
        <v>38</v>
      </c>
      <c r="N21" s="1"/>
      <c r="O21" s="3"/>
    </row>
    <row r="22" spans="1:15" ht="28.5" customHeight="1">
      <c r="A22" s="22" t="s">
        <v>57</v>
      </c>
      <c r="B22" s="22" t="s">
        <v>14</v>
      </c>
      <c r="C22" s="22" t="s">
        <v>26</v>
      </c>
      <c r="D22" s="23">
        <v>46095.6875</v>
      </c>
      <c r="E22" s="23">
        <v>46097.116666666669</v>
      </c>
      <c r="F22" s="23">
        <v>46099.116666666669</v>
      </c>
      <c r="G22" s="23">
        <v>46102.816666666673</v>
      </c>
      <c r="H22" s="23">
        <v>46100.4375</v>
      </c>
      <c r="I22" s="23">
        <v>46101</v>
      </c>
      <c r="J22" s="23" t="s">
        <v>28</v>
      </c>
      <c r="K22" s="22" t="s">
        <v>17</v>
      </c>
      <c r="L22" s="22" t="s">
        <v>16</v>
      </c>
      <c r="M22" s="24" t="s">
        <v>44</v>
      </c>
      <c r="N22" s="1"/>
      <c r="O22" s="3"/>
    </row>
    <row r="23" spans="1:15" ht="28.5" customHeight="1">
      <c r="A23" s="25" t="s">
        <v>58</v>
      </c>
      <c r="B23" s="25" t="s">
        <v>21</v>
      </c>
      <c r="C23" s="25" t="s">
        <v>26</v>
      </c>
      <c r="D23" s="26">
        <v>46141.375</v>
      </c>
      <c r="E23" s="26">
        <v>46141.708333333343</v>
      </c>
      <c r="F23" s="26">
        <v>46141.708333333343</v>
      </c>
      <c r="G23" s="26">
        <v>46151.808333333327</v>
      </c>
      <c r="H23" s="26">
        <v>46142.375</v>
      </c>
      <c r="I23" s="26">
        <v>46151</v>
      </c>
      <c r="J23" s="26" t="s">
        <v>39</v>
      </c>
      <c r="K23" s="25" t="s">
        <v>17</v>
      </c>
      <c r="L23" s="25" t="s">
        <v>17</v>
      </c>
      <c r="M23" s="27" t="s">
        <v>48</v>
      </c>
      <c r="N23" s="1"/>
      <c r="O23" s="3"/>
    </row>
    <row r="24" spans="1:15" ht="27.75" customHeight="1">
      <c r="A24" s="22" t="s">
        <v>59</v>
      </c>
      <c r="B24" s="22"/>
      <c r="C24" s="22" t="s">
        <v>26</v>
      </c>
      <c r="D24" s="23">
        <v>46059.447916666657</v>
      </c>
      <c r="E24" s="23">
        <v>46062.456250000003</v>
      </c>
      <c r="F24" s="23">
        <v>46063.956250000003</v>
      </c>
      <c r="G24" s="23">
        <v>46065.456250000003</v>
      </c>
      <c r="H24" s="23">
        <v>46064.354166666657</v>
      </c>
      <c r="I24" s="23">
        <v>46064</v>
      </c>
      <c r="J24" s="23" t="s">
        <v>19</v>
      </c>
      <c r="K24" s="22" t="s">
        <v>17</v>
      </c>
      <c r="L24" s="22" t="s">
        <v>17</v>
      </c>
      <c r="M24" s="24" t="s">
        <v>27</v>
      </c>
      <c r="N24" s="1"/>
      <c r="O24" s="3"/>
    </row>
    <row r="25" spans="1:15" ht="28.5" customHeight="1">
      <c r="A25" s="25" t="s">
        <v>60</v>
      </c>
      <c r="B25" s="25" t="s">
        <v>21</v>
      </c>
      <c r="C25" s="25" t="s">
        <v>26</v>
      </c>
      <c r="D25" s="26">
        <v>46142.385416666657</v>
      </c>
      <c r="E25" s="26">
        <v>46144.502083333333</v>
      </c>
      <c r="F25" s="26">
        <v>46146.502083333333</v>
      </c>
      <c r="G25" s="26">
        <v>46154.902083333327</v>
      </c>
      <c r="H25" s="26">
        <v>46146.502083333333</v>
      </c>
      <c r="I25" s="26">
        <v>46153</v>
      </c>
      <c r="J25" s="26" t="s">
        <v>24</v>
      </c>
      <c r="K25" s="25" t="s">
        <v>17</v>
      </c>
      <c r="L25" s="25" t="s">
        <v>17</v>
      </c>
      <c r="M25" s="27" t="s">
        <v>48</v>
      </c>
      <c r="N25" s="1"/>
      <c r="O25" s="3"/>
    </row>
    <row r="26" spans="1:15" ht="28.5" customHeight="1">
      <c r="A26" s="22" t="s">
        <v>61</v>
      </c>
      <c r="B26" s="22" t="s">
        <v>21</v>
      </c>
      <c r="C26" s="22" t="s">
        <v>22</v>
      </c>
      <c r="D26" s="23">
        <v>46104.53125</v>
      </c>
      <c r="E26" s="23">
        <v>46106.810416666667</v>
      </c>
      <c r="F26" s="23">
        <v>46106.810416666667</v>
      </c>
      <c r="G26" s="23">
        <v>46115.410416666673</v>
      </c>
      <c r="H26" s="23">
        <v>46106.977083333331</v>
      </c>
      <c r="I26" s="23">
        <v>46114</v>
      </c>
      <c r="J26" s="23" t="s">
        <v>36</v>
      </c>
      <c r="K26" s="22" t="s">
        <v>17</v>
      </c>
      <c r="L26" s="22" t="s">
        <v>17</v>
      </c>
      <c r="M26" s="24" t="s">
        <v>35</v>
      </c>
      <c r="N26" s="1"/>
      <c r="O26" s="3"/>
    </row>
    <row r="27" spans="1:15" ht="28.5" customHeight="1">
      <c r="A27" s="25" t="s">
        <v>62</v>
      </c>
      <c r="B27" s="25" t="s">
        <v>14</v>
      </c>
      <c r="C27" s="25" t="s">
        <v>22</v>
      </c>
      <c r="D27" s="26">
        <v>46043.65625</v>
      </c>
      <c r="E27" s="26">
        <v>46044.706250000003</v>
      </c>
      <c r="F27" s="26">
        <v>46046.706250000003</v>
      </c>
      <c r="G27" s="26">
        <v>46050.506249999999</v>
      </c>
      <c r="H27" s="26">
        <v>46046.706250000003</v>
      </c>
      <c r="I27" s="26">
        <v>46048</v>
      </c>
      <c r="J27" s="26" t="s">
        <v>28</v>
      </c>
      <c r="K27" s="25" t="s">
        <v>17</v>
      </c>
      <c r="L27" s="25" t="s">
        <v>17</v>
      </c>
      <c r="M27" s="27" t="s">
        <v>35</v>
      </c>
      <c r="N27" s="1"/>
      <c r="O27" s="3"/>
    </row>
    <row r="28" spans="1:15" ht="24" customHeight="1">
      <c r="A28" s="22" t="s">
        <v>63</v>
      </c>
      <c r="B28" s="22" t="s">
        <v>21</v>
      </c>
      <c r="C28" s="22" t="s">
        <v>64</v>
      </c>
      <c r="D28" s="23">
        <v>46039.354166666657</v>
      </c>
      <c r="E28" s="23">
        <v>46040.237500000003</v>
      </c>
      <c r="F28" s="23">
        <v>46040.237500000003</v>
      </c>
      <c r="G28" s="23">
        <v>46047.9375</v>
      </c>
      <c r="H28" s="23">
        <v>46041.375</v>
      </c>
      <c r="I28" s="23">
        <v>46048</v>
      </c>
      <c r="J28" s="23" t="s">
        <v>36</v>
      </c>
      <c r="K28" s="22" t="s">
        <v>17</v>
      </c>
      <c r="L28" s="22" t="s">
        <v>17</v>
      </c>
      <c r="M28" s="24" t="s">
        <v>27</v>
      </c>
      <c r="N28" s="1"/>
      <c r="O28" s="3"/>
    </row>
    <row r="29" spans="1:15" ht="22.5" customHeight="1">
      <c r="A29" s="25" t="s">
        <v>65</v>
      </c>
      <c r="B29" s="25" t="s">
        <v>14</v>
      </c>
      <c r="C29" s="25" t="s">
        <v>22</v>
      </c>
      <c r="D29" s="26">
        <v>46118.427083333343</v>
      </c>
      <c r="E29" s="26">
        <v>46120.272916666669</v>
      </c>
      <c r="F29" s="26">
        <v>46120.439583333333</v>
      </c>
      <c r="G29" s="26">
        <v>46120.939583333333</v>
      </c>
      <c r="H29" s="26">
        <v>46120.439583333333</v>
      </c>
      <c r="I29" s="26">
        <v>46121</v>
      </c>
      <c r="J29" s="26" t="s">
        <v>19</v>
      </c>
      <c r="K29" s="25"/>
      <c r="L29" s="25" t="s">
        <v>17</v>
      </c>
      <c r="M29" s="27" t="s">
        <v>23</v>
      </c>
      <c r="N29" s="1"/>
      <c r="O29" s="3"/>
    </row>
    <row r="30" spans="1:15" ht="28.5" customHeight="1">
      <c r="A30" s="22" t="s">
        <v>66</v>
      </c>
      <c r="B30" s="22" t="s">
        <v>14</v>
      </c>
      <c r="C30" s="22" t="s">
        <v>42</v>
      </c>
      <c r="D30" s="23">
        <v>46126.479166666657</v>
      </c>
      <c r="E30" s="23">
        <v>46127.98333333333</v>
      </c>
      <c r="F30" s="23">
        <v>46128.98333333333</v>
      </c>
      <c r="G30" s="23">
        <v>46135.783333333333</v>
      </c>
      <c r="H30" s="23">
        <v>46128.98333333333</v>
      </c>
      <c r="I30" s="23">
        <v>46133</v>
      </c>
      <c r="J30" s="23" t="s">
        <v>39</v>
      </c>
      <c r="K30" s="22" t="s">
        <v>17</v>
      </c>
      <c r="L30" s="22" t="s">
        <v>17</v>
      </c>
      <c r="M30" s="24" t="s">
        <v>44</v>
      </c>
      <c r="N30" s="1"/>
      <c r="O30" s="3"/>
    </row>
    <row r="31" spans="1:15">
      <c r="A31" s="25" t="s">
        <v>67</v>
      </c>
      <c r="B31" s="25" t="s">
        <v>14</v>
      </c>
      <c r="C31" s="25" t="s">
        <v>30</v>
      </c>
      <c r="D31" s="26">
        <v>46124.46875</v>
      </c>
      <c r="E31" s="26">
        <v>46125.90625</v>
      </c>
      <c r="F31" s="26">
        <v>46126.239583333343</v>
      </c>
      <c r="G31" s="26">
        <v>46130.63958333333</v>
      </c>
      <c r="H31" s="26">
        <v>46126.479166666657</v>
      </c>
      <c r="I31" s="26">
        <v>46128</v>
      </c>
      <c r="J31" s="26" t="s">
        <v>36</v>
      </c>
      <c r="K31" s="25" t="s">
        <v>16</v>
      </c>
      <c r="L31" s="25" t="s">
        <v>17</v>
      </c>
      <c r="M31" s="27" t="s">
        <v>27</v>
      </c>
      <c r="N31" s="1"/>
      <c r="O31" s="3"/>
    </row>
    <row r="32" spans="1:15">
      <c r="A32" s="22" t="s">
        <v>68</v>
      </c>
      <c r="B32" s="22" t="s">
        <v>21</v>
      </c>
      <c r="C32" s="22" t="s">
        <v>64</v>
      </c>
      <c r="D32" s="23">
        <v>46109.6875</v>
      </c>
      <c r="E32" s="23">
        <v>46112.4</v>
      </c>
      <c r="F32" s="23">
        <v>46112.73333333333</v>
      </c>
      <c r="G32" s="23">
        <v>46116.533333333333</v>
      </c>
      <c r="H32" s="23">
        <v>46112.9</v>
      </c>
      <c r="I32" s="23">
        <v>46116</v>
      </c>
      <c r="J32" s="23" t="s">
        <v>33</v>
      </c>
      <c r="K32" s="22" t="s">
        <v>17</v>
      </c>
      <c r="L32" s="22" t="s">
        <v>17</v>
      </c>
      <c r="M32" s="24" t="s">
        <v>23</v>
      </c>
      <c r="N32" s="1"/>
      <c r="O32" s="3"/>
    </row>
    <row r="33" spans="1:15" ht="28.5" customHeight="1">
      <c r="A33" s="25" t="s">
        <v>69</v>
      </c>
      <c r="B33" s="25" t="s">
        <v>14</v>
      </c>
      <c r="C33" s="25" t="s">
        <v>64</v>
      </c>
      <c r="D33" s="26">
        <v>46063.583333333343</v>
      </c>
      <c r="E33" s="26">
        <v>46065.770833333343</v>
      </c>
      <c r="F33" s="26">
        <v>46067.270833333343</v>
      </c>
      <c r="G33" s="26">
        <v>46071.67083333333</v>
      </c>
      <c r="H33" s="26">
        <v>46067.395833333343</v>
      </c>
      <c r="I33" s="26">
        <v>46070</v>
      </c>
      <c r="J33" s="26" t="s">
        <v>33</v>
      </c>
      <c r="K33" s="25" t="s">
        <v>17</v>
      </c>
      <c r="L33" s="25" t="s">
        <v>17</v>
      </c>
      <c r="M33" s="27" t="s">
        <v>48</v>
      </c>
      <c r="N33" s="1"/>
      <c r="O33" s="3"/>
    </row>
    <row r="34" spans="1:15">
      <c r="A34" s="22" t="s">
        <v>70</v>
      </c>
      <c r="B34" s="22" t="s">
        <v>21</v>
      </c>
      <c r="C34" s="22" t="s">
        <v>26</v>
      </c>
      <c r="D34" s="23">
        <v>46078.395833333343</v>
      </c>
      <c r="E34" s="23">
        <v>46080.945833333331</v>
      </c>
      <c r="F34" s="23">
        <v>46082.445833333331</v>
      </c>
      <c r="G34" s="23">
        <v>46085.145833333343</v>
      </c>
      <c r="H34" s="23">
        <v>46082.445833333331</v>
      </c>
      <c r="I34" s="23">
        <v>46085</v>
      </c>
      <c r="J34" s="23" t="s">
        <v>19</v>
      </c>
      <c r="K34" s="22" t="s">
        <v>17</v>
      </c>
      <c r="L34" s="22"/>
      <c r="M34" s="24" t="s">
        <v>23</v>
      </c>
      <c r="N34" s="1"/>
      <c r="O34" s="3"/>
    </row>
    <row r="35" spans="1:15">
      <c r="A35" s="25" t="s">
        <v>71</v>
      </c>
      <c r="B35" s="25" t="s">
        <v>21</v>
      </c>
      <c r="C35" s="25" t="s">
        <v>22</v>
      </c>
      <c r="D35" s="26">
        <v>46060.677083333343</v>
      </c>
      <c r="E35" s="26">
        <v>46064.606249999997</v>
      </c>
      <c r="F35" s="26">
        <v>46064.772916666669</v>
      </c>
      <c r="G35" s="26">
        <v>46065.272916666669</v>
      </c>
      <c r="H35" s="26">
        <v>46065.272916666669</v>
      </c>
      <c r="I35" s="26">
        <v>46065</v>
      </c>
      <c r="J35" s="26" t="s">
        <v>19</v>
      </c>
      <c r="K35" s="25" t="s">
        <v>17</v>
      </c>
      <c r="L35" s="25" t="s">
        <v>17</v>
      </c>
      <c r="M35" s="27" t="s">
        <v>27</v>
      </c>
      <c r="N35" s="1"/>
      <c r="O35" s="3"/>
    </row>
    <row r="36" spans="1:15" ht="28.5" customHeight="1">
      <c r="A36" s="22" t="s">
        <v>72</v>
      </c>
      <c r="B36" s="22" t="s">
        <v>21</v>
      </c>
      <c r="C36" s="22" t="s">
        <v>15</v>
      </c>
      <c r="D36" s="23">
        <v>46061.510416666657</v>
      </c>
      <c r="E36" s="23">
        <v>46064.84375</v>
      </c>
      <c r="F36" s="23">
        <v>46065.84375</v>
      </c>
      <c r="G36" s="23">
        <v>46070.643750000003</v>
      </c>
      <c r="H36" s="23">
        <v>46066.010416666657</v>
      </c>
      <c r="I36" s="23">
        <v>46068</v>
      </c>
      <c r="J36" s="23" t="s">
        <v>33</v>
      </c>
      <c r="K36" s="22" t="s">
        <v>17</v>
      </c>
      <c r="L36" s="22" t="s">
        <v>17</v>
      </c>
      <c r="M36" s="24" t="s">
        <v>35</v>
      </c>
      <c r="N36" s="1"/>
      <c r="O36" s="3"/>
    </row>
    <row r="37" spans="1:15" ht="28.5" customHeight="1">
      <c r="A37" s="25" t="s">
        <v>73</v>
      </c>
      <c r="B37" s="25" t="s">
        <v>14</v>
      </c>
      <c r="C37" s="25" t="s">
        <v>15</v>
      </c>
      <c r="D37" s="26">
        <v>46088.729166666657</v>
      </c>
      <c r="E37" s="26">
        <v>46089.466666666667</v>
      </c>
      <c r="F37" s="26">
        <v>46089.466666666667</v>
      </c>
      <c r="G37" s="26">
        <v>46095.066666666673</v>
      </c>
      <c r="H37" s="26">
        <v>46089.458333333343</v>
      </c>
      <c r="I37" s="26">
        <v>46094</v>
      </c>
      <c r="J37" s="26" t="s">
        <v>39</v>
      </c>
      <c r="K37" s="25" t="s">
        <v>17</v>
      </c>
      <c r="L37" s="25" t="s">
        <v>16</v>
      </c>
      <c r="M37" s="27" t="s">
        <v>48</v>
      </c>
      <c r="N37" s="1"/>
      <c r="O37" s="3"/>
    </row>
    <row r="38" spans="1:15">
      <c r="A38" s="22" t="s">
        <v>74</v>
      </c>
      <c r="B38" s="22" t="s">
        <v>21</v>
      </c>
      <c r="C38" s="22" t="s">
        <v>64</v>
      </c>
      <c r="D38" s="23">
        <v>46101.40625</v>
      </c>
      <c r="E38" s="23">
        <v>46102.306250000001</v>
      </c>
      <c r="F38" s="23">
        <v>46103.306250000001</v>
      </c>
      <c r="G38" s="23">
        <v>46109.506249999999</v>
      </c>
      <c r="H38" s="23">
        <v>46103.306250000001</v>
      </c>
      <c r="I38" s="23">
        <v>46108</v>
      </c>
      <c r="J38" s="23" t="s">
        <v>36</v>
      </c>
      <c r="K38" s="22" t="s">
        <v>17</v>
      </c>
      <c r="L38" s="22" t="s">
        <v>17</v>
      </c>
      <c r="M38" s="24" t="s">
        <v>31</v>
      </c>
      <c r="N38" s="1"/>
      <c r="O38" s="3"/>
    </row>
    <row r="39" spans="1:15" ht="28.5" customHeight="1">
      <c r="A39" s="25" t="s">
        <v>75</v>
      </c>
      <c r="B39" s="25" t="s">
        <v>21</v>
      </c>
      <c r="C39" s="25" t="s">
        <v>15</v>
      </c>
      <c r="D39" s="26">
        <v>46122.59375</v>
      </c>
      <c r="E39" s="26">
        <v>46124.097916666673</v>
      </c>
      <c r="F39" s="26">
        <v>46124.26458333333</v>
      </c>
      <c r="G39" s="26">
        <v>46129.464583333327</v>
      </c>
      <c r="H39" s="26">
        <v>46126.354166666657</v>
      </c>
      <c r="I39" s="26">
        <v>46130</v>
      </c>
      <c r="J39" s="26" t="s">
        <v>24</v>
      </c>
      <c r="K39" s="25" t="s">
        <v>17</v>
      </c>
      <c r="L39" s="25" t="s">
        <v>17</v>
      </c>
      <c r="M39" s="27" t="s">
        <v>35</v>
      </c>
      <c r="N39" s="1"/>
      <c r="O39" s="3"/>
    </row>
    <row r="40" spans="1:15" ht="28.5" customHeight="1">
      <c r="A40" s="22" t="s">
        <v>76</v>
      </c>
      <c r="B40" s="22" t="s">
        <v>21</v>
      </c>
      <c r="C40" s="22" t="s">
        <v>64</v>
      </c>
      <c r="D40" s="23">
        <v>46108.6875</v>
      </c>
      <c r="E40" s="23">
        <v>46109.645833333343</v>
      </c>
      <c r="F40" s="23">
        <v>46110.645833333343</v>
      </c>
      <c r="G40" s="23">
        <v>46112.445833333331</v>
      </c>
      <c r="H40" s="23">
        <v>46110.8125</v>
      </c>
      <c r="I40" s="23">
        <v>46111</v>
      </c>
      <c r="J40" s="23" t="s">
        <v>19</v>
      </c>
      <c r="K40" s="22" t="s">
        <v>17</v>
      </c>
      <c r="L40" s="22" t="s">
        <v>17</v>
      </c>
      <c r="M40" s="24" t="s">
        <v>44</v>
      </c>
      <c r="N40" s="1"/>
      <c r="O40" s="3"/>
    </row>
    <row r="41" spans="1:15">
      <c r="A41" s="25" t="s">
        <v>77</v>
      </c>
      <c r="B41" s="25" t="s">
        <v>21</v>
      </c>
      <c r="C41" s="25" t="s">
        <v>64</v>
      </c>
      <c r="D41" s="26">
        <v>46056.479166666657</v>
      </c>
      <c r="E41" s="26">
        <v>46057.820833333331</v>
      </c>
      <c r="F41" s="26">
        <v>46059.320833333331</v>
      </c>
      <c r="G41" s="26">
        <v>46062.020833333343</v>
      </c>
      <c r="H41" s="26">
        <v>46060.375</v>
      </c>
      <c r="I41" s="26">
        <v>46061</v>
      </c>
      <c r="J41" s="26" t="s">
        <v>19</v>
      </c>
      <c r="K41" s="25" t="s">
        <v>17</v>
      </c>
      <c r="L41" s="25" t="s">
        <v>17</v>
      </c>
      <c r="M41" s="27" t="s">
        <v>27</v>
      </c>
      <c r="N41" s="1"/>
      <c r="O41" s="3"/>
    </row>
    <row r="42" spans="1:15">
      <c r="A42" s="22" t="s">
        <v>78</v>
      </c>
      <c r="B42" s="22" t="s">
        <v>21</v>
      </c>
      <c r="C42" s="22" t="s">
        <v>15</v>
      </c>
      <c r="D42" s="23">
        <v>46040.427083333343</v>
      </c>
      <c r="E42" s="23">
        <v>46042.785416666673</v>
      </c>
      <c r="F42" s="23">
        <v>46043.785416666673</v>
      </c>
      <c r="G42" s="23">
        <v>46051.98541666667</v>
      </c>
      <c r="H42" s="23">
        <v>46043.785416666673</v>
      </c>
      <c r="I42" s="23">
        <v>46050</v>
      </c>
      <c r="J42" s="23" t="s">
        <v>36</v>
      </c>
      <c r="K42" s="22" t="s">
        <v>17</v>
      </c>
      <c r="L42" s="22" t="s">
        <v>17</v>
      </c>
      <c r="M42" s="24" t="s">
        <v>23</v>
      </c>
      <c r="N42" s="1"/>
      <c r="O42" s="3"/>
    </row>
    <row r="43" spans="1:15">
      <c r="A43" s="25" t="s">
        <v>79</v>
      </c>
      <c r="B43" s="25" t="s">
        <v>21</v>
      </c>
      <c r="C43" s="25" t="s">
        <v>64</v>
      </c>
      <c r="D43" s="26">
        <v>46138.708333333343</v>
      </c>
      <c r="E43" s="26">
        <v>46139.654166666667</v>
      </c>
      <c r="F43" s="26">
        <v>46141.154166666667</v>
      </c>
      <c r="G43" s="26">
        <v>46145.154166666667</v>
      </c>
      <c r="H43" s="26">
        <v>46143.479166666657</v>
      </c>
      <c r="I43" s="26">
        <v>46145</v>
      </c>
      <c r="J43" s="26" t="s">
        <v>33</v>
      </c>
      <c r="K43" s="25" t="s">
        <v>17</v>
      </c>
      <c r="L43" s="25" t="s">
        <v>17</v>
      </c>
      <c r="M43" s="27" t="s">
        <v>23</v>
      </c>
      <c r="N43" s="1"/>
      <c r="O43" s="3"/>
    </row>
    <row r="44" spans="1:15" ht="28.5" customHeight="1">
      <c r="A44" s="22" t="s">
        <v>80</v>
      </c>
      <c r="B44" s="22" t="s">
        <v>21</v>
      </c>
      <c r="C44" s="22" t="s">
        <v>42</v>
      </c>
      <c r="D44" s="23">
        <v>46118.677083333343</v>
      </c>
      <c r="E44" s="23">
        <v>46121.035416666673</v>
      </c>
      <c r="F44" s="23">
        <v>46122.035416666673</v>
      </c>
      <c r="G44" s="23">
        <v>46131.335416666669</v>
      </c>
      <c r="H44" s="23">
        <v>46123.333333333343</v>
      </c>
      <c r="I44" s="23">
        <v>46131</v>
      </c>
      <c r="J44" s="23" t="s">
        <v>36</v>
      </c>
      <c r="K44" s="22" t="s">
        <v>17</v>
      </c>
      <c r="L44" s="22" t="s">
        <v>17</v>
      </c>
      <c r="M44" s="24" t="s">
        <v>44</v>
      </c>
      <c r="N44" s="1"/>
      <c r="O44" s="3"/>
    </row>
    <row r="45" spans="1:15">
      <c r="A45" s="25" t="s">
        <v>81</v>
      </c>
      <c r="B45" s="25" t="s">
        <v>14</v>
      </c>
      <c r="C45" s="25" t="s">
        <v>22</v>
      </c>
      <c r="D45" s="26">
        <v>46091.364583333343</v>
      </c>
      <c r="E45" s="26">
        <v>46092.943749999999</v>
      </c>
      <c r="F45" s="26">
        <v>46094.443749999999</v>
      </c>
      <c r="G45" s="26">
        <v>46098.243750000001</v>
      </c>
      <c r="H45" s="26">
        <v>46096.333333333343</v>
      </c>
      <c r="I45" s="26">
        <v>46097</v>
      </c>
      <c r="J45" s="26" t="s">
        <v>33</v>
      </c>
      <c r="K45" s="25" t="s">
        <v>16</v>
      </c>
      <c r="L45" s="25" t="s">
        <v>17</v>
      </c>
      <c r="M45" s="27" t="s">
        <v>23</v>
      </c>
      <c r="N45" s="1"/>
      <c r="O45" s="3"/>
    </row>
    <row r="46" spans="1:15" ht="28.5">
      <c r="A46" s="22" t="s">
        <v>82</v>
      </c>
      <c r="B46" s="22" t="s">
        <v>21</v>
      </c>
      <c r="C46" s="22" t="s">
        <v>26</v>
      </c>
      <c r="D46" s="23">
        <v>46050.645833333343</v>
      </c>
      <c r="E46" s="23">
        <v>46052.854166666657</v>
      </c>
      <c r="F46" s="23">
        <v>46053.1875</v>
      </c>
      <c r="G46" s="23">
        <v>46057.487500000003</v>
      </c>
      <c r="H46" s="23">
        <v>46055.46875</v>
      </c>
      <c r="I46" s="23">
        <v>46057</v>
      </c>
      <c r="J46" s="23" t="s">
        <v>28</v>
      </c>
      <c r="K46" s="22" t="s">
        <v>17</v>
      </c>
      <c r="L46" s="22" t="s">
        <v>17</v>
      </c>
      <c r="M46" s="24" t="s">
        <v>83</v>
      </c>
      <c r="N46" s="1"/>
      <c r="O46" s="3"/>
    </row>
    <row r="47" spans="1:15">
      <c r="A47" s="25" t="s">
        <v>84</v>
      </c>
      <c r="B47" s="25" t="s">
        <v>21</v>
      </c>
      <c r="C47" s="25" t="s">
        <v>22</v>
      </c>
      <c r="D47" s="26">
        <v>46092.354166666657</v>
      </c>
      <c r="E47" s="26">
        <v>46093.754166666673</v>
      </c>
      <c r="F47" s="26">
        <v>46093.92083333333</v>
      </c>
      <c r="G47" s="26">
        <v>46096.120833333327</v>
      </c>
      <c r="H47" s="26">
        <v>46094.458333333343</v>
      </c>
      <c r="I47" s="26">
        <v>46096</v>
      </c>
      <c r="J47" s="26" t="s">
        <v>19</v>
      </c>
      <c r="K47" s="25" t="s">
        <v>17</v>
      </c>
      <c r="L47" s="25" t="s">
        <v>17</v>
      </c>
      <c r="M47" s="27" t="s">
        <v>31</v>
      </c>
      <c r="N47" s="1"/>
      <c r="O47" s="3"/>
    </row>
    <row r="48" spans="1:15" ht="28.5" customHeight="1">
      <c r="A48" s="22" t="s">
        <v>85</v>
      </c>
      <c r="B48" s="22" t="s">
        <v>21</v>
      </c>
      <c r="C48" s="22" t="s">
        <v>42</v>
      </c>
      <c r="D48" s="23">
        <v>46042.46875</v>
      </c>
      <c r="E48" s="23">
        <v>46043.464583333327</v>
      </c>
      <c r="F48" s="23">
        <v>46044.464583333327</v>
      </c>
      <c r="G48" s="23">
        <v>46047.464583333327</v>
      </c>
      <c r="H48" s="23">
        <v>46047.354166666657</v>
      </c>
      <c r="I48" s="23">
        <v>46046</v>
      </c>
      <c r="J48" s="23" t="s">
        <v>19</v>
      </c>
      <c r="K48" s="22" t="s">
        <v>17</v>
      </c>
      <c r="L48" s="22" t="s">
        <v>17</v>
      </c>
      <c r="M48" s="24" t="s">
        <v>86</v>
      </c>
      <c r="N48" s="1"/>
      <c r="O48" s="3"/>
    </row>
    <row r="49" spans="1:15" ht="28.5" customHeight="1">
      <c r="A49" s="25" t="s">
        <v>87</v>
      </c>
      <c r="B49" s="25" t="s">
        <v>21</v>
      </c>
      <c r="C49" s="25" t="s">
        <v>22</v>
      </c>
      <c r="D49" s="26">
        <v>46114.385416666657</v>
      </c>
      <c r="E49" s="26">
        <v>46115.643750000003</v>
      </c>
      <c r="F49" s="26">
        <v>46115.977083333331</v>
      </c>
      <c r="G49" s="26">
        <v>46120.57708333333</v>
      </c>
      <c r="H49" s="26">
        <v>46116.375</v>
      </c>
      <c r="I49" s="26">
        <v>46121</v>
      </c>
      <c r="J49" s="26" t="s">
        <v>33</v>
      </c>
      <c r="K49" s="25" t="s">
        <v>17</v>
      </c>
      <c r="L49" s="25" t="s">
        <v>17</v>
      </c>
      <c r="M49" s="27" t="s">
        <v>48</v>
      </c>
      <c r="N49" s="1"/>
      <c r="O49" s="3"/>
    </row>
    <row r="50" spans="1:15" ht="28.5" customHeight="1">
      <c r="A50" s="22" t="s">
        <v>88</v>
      </c>
      <c r="B50" s="22" t="s">
        <v>21</v>
      </c>
      <c r="C50" s="22" t="s">
        <v>15</v>
      </c>
      <c r="D50" s="23">
        <v>46098.458333333343</v>
      </c>
      <c r="E50" s="23">
        <v>46100.883333333331</v>
      </c>
      <c r="F50" s="23">
        <v>46102.883333333331</v>
      </c>
      <c r="G50" s="23">
        <v>46107.583333333343</v>
      </c>
      <c r="H50" s="23">
        <v>46103.385416666657</v>
      </c>
      <c r="I50" s="23">
        <v>46107</v>
      </c>
      <c r="J50" s="23" t="s">
        <v>24</v>
      </c>
      <c r="K50" s="22" t="s">
        <v>16</v>
      </c>
      <c r="L50" s="22" t="s">
        <v>17</v>
      </c>
      <c r="M50" s="24" t="s">
        <v>89</v>
      </c>
      <c r="N50" s="1"/>
      <c r="O50" s="3"/>
    </row>
    <row r="51" spans="1:15" ht="28.5" customHeight="1">
      <c r="A51" s="25" t="s">
        <v>90</v>
      </c>
      <c r="B51" s="25" t="s">
        <v>21</v>
      </c>
      <c r="C51" s="25" t="s">
        <v>42</v>
      </c>
      <c r="D51" s="26">
        <v>46077.541666666657</v>
      </c>
      <c r="E51" s="26">
        <v>46078.066666666673</v>
      </c>
      <c r="F51" s="26">
        <v>46079.566666666673</v>
      </c>
      <c r="G51" s="26">
        <v>46083.566666666673</v>
      </c>
      <c r="H51" s="26">
        <v>46080.354166666657</v>
      </c>
      <c r="I51" s="26">
        <v>46083</v>
      </c>
      <c r="J51" s="26" t="s">
        <v>36</v>
      </c>
      <c r="K51" s="25" t="s">
        <v>17</v>
      </c>
      <c r="L51" s="25" t="s">
        <v>17</v>
      </c>
      <c r="M51" s="27" t="s">
        <v>44</v>
      </c>
      <c r="N51" s="1"/>
      <c r="O51" s="3"/>
    </row>
    <row r="52" spans="1:15" ht="28.5" customHeight="1">
      <c r="A52" s="22" t="s">
        <v>91</v>
      </c>
      <c r="B52" s="22" t="s">
        <v>21</v>
      </c>
      <c r="C52" s="22" t="s">
        <v>22</v>
      </c>
      <c r="D52" s="23">
        <v>46042.59375</v>
      </c>
      <c r="E52" s="23">
        <v>46044.768750000003</v>
      </c>
      <c r="F52" s="23">
        <v>46046.768750000003</v>
      </c>
      <c r="G52" s="23">
        <v>46048.068749999999</v>
      </c>
      <c r="H52" s="23">
        <v>46046.935416666667</v>
      </c>
      <c r="I52" s="23">
        <v>46048</v>
      </c>
      <c r="J52" s="23" t="s">
        <v>19</v>
      </c>
      <c r="K52" s="22" t="s">
        <v>17</v>
      </c>
      <c r="L52" s="22" t="s">
        <v>17</v>
      </c>
      <c r="M52" s="24" t="s">
        <v>86</v>
      </c>
      <c r="N52" s="1"/>
      <c r="O52" s="3"/>
    </row>
    <row r="53" spans="1:15" ht="28.5" customHeight="1">
      <c r="A53" s="25" t="s">
        <v>92</v>
      </c>
      <c r="B53" s="25" t="s">
        <v>21</v>
      </c>
      <c r="C53" s="25" t="s">
        <v>26</v>
      </c>
      <c r="D53" s="26">
        <v>46064.458333333343</v>
      </c>
      <c r="E53" s="26">
        <v>46066.570833333331</v>
      </c>
      <c r="F53" s="26">
        <v>46066.904166666667</v>
      </c>
      <c r="G53" s="26">
        <v>46072.20416666667</v>
      </c>
      <c r="H53" s="26">
        <v>46067.385416666657</v>
      </c>
      <c r="I53" s="26">
        <v>46071</v>
      </c>
      <c r="J53" s="26" t="s">
        <v>33</v>
      </c>
      <c r="K53" s="25" t="s">
        <v>17</v>
      </c>
      <c r="L53" s="25" t="s">
        <v>17</v>
      </c>
      <c r="M53" s="27" t="s">
        <v>89</v>
      </c>
      <c r="N53" s="1"/>
      <c r="O53" s="3"/>
    </row>
    <row r="54" spans="1:15">
      <c r="A54" s="22" t="s">
        <v>93</v>
      </c>
      <c r="B54" s="22" t="s">
        <v>21</v>
      </c>
      <c r="C54" s="22" t="s">
        <v>30</v>
      </c>
      <c r="D54" s="23">
        <v>46085.479166666657</v>
      </c>
      <c r="E54" s="23">
        <v>46087.308333333327</v>
      </c>
      <c r="F54" s="23">
        <v>46087.64166666667</v>
      </c>
      <c r="G54" s="23">
        <v>46089.64166666667</v>
      </c>
      <c r="H54" s="23">
        <v>46087.808333333327</v>
      </c>
      <c r="I54" s="23">
        <v>46089</v>
      </c>
      <c r="J54" s="23" t="s">
        <v>19</v>
      </c>
      <c r="K54" s="22" t="s">
        <v>17</v>
      </c>
      <c r="L54" s="22" t="s">
        <v>16</v>
      </c>
      <c r="M54" s="24" t="s">
        <v>38</v>
      </c>
      <c r="N54" s="1"/>
      <c r="O54" s="3"/>
    </row>
    <row r="55" spans="1:15" ht="28.5" customHeight="1">
      <c r="A55" s="25" t="s">
        <v>94</v>
      </c>
      <c r="B55" s="25" t="s">
        <v>14</v>
      </c>
      <c r="C55" s="25" t="s">
        <v>64</v>
      </c>
      <c r="D55" s="26">
        <v>46085.677083333343</v>
      </c>
      <c r="E55" s="26">
        <v>46087.502083333333</v>
      </c>
      <c r="F55" s="26">
        <v>46089.502083333333</v>
      </c>
      <c r="G55" s="26">
        <v>46090.602083333331</v>
      </c>
      <c r="H55" s="26">
        <v>46090.333333333343</v>
      </c>
      <c r="I55" s="26">
        <v>46089</v>
      </c>
      <c r="J55" s="26" t="s">
        <v>19</v>
      </c>
      <c r="K55" s="25" t="s">
        <v>16</v>
      </c>
      <c r="L55" s="25" t="s">
        <v>17</v>
      </c>
      <c r="M55" s="27" t="s">
        <v>48</v>
      </c>
      <c r="N55" s="1"/>
      <c r="O55" s="3"/>
    </row>
    <row r="56" spans="1:15" ht="28.5" customHeight="1">
      <c r="A56" s="22" t="s">
        <v>95</v>
      </c>
      <c r="B56" s="22" t="s">
        <v>14</v>
      </c>
      <c r="C56" s="22" t="s">
        <v>26</v>
      </c>
      <c r="D56" s="23">
        <v>46070.645833333343</v>
      </c>
      <c r="E56" s="23">
        <v>46071.9375</v>
      </c>
      <c r="F56" s="23">
        <v>46072.9375</v>
      </c>
      <c r="G56" s="23">
        <v>46079.637499999997</v>
      </c>
      <c r="H56" s="23">
        <v>46073.385416666657</v>
      </c>
      <c r="I56" s="23">
        <v>46078</v>
      </c>
      <c r="J56" s="23" t="s">
        <v>24</v>
      </c>
      <c r="K56" s="22" t="s">
        <v>17</v>
      </c>
      <c r="L56" s="22" t="s">
        <v>17</v>
      </c>
      <c r="M56" s="24" t="s">
        <v>48</v>
      </c>
      <c r="N56" s="1"/>
      <c r="O56" s="3"/>
    </row>
    <row r="57" spans="1:15" ht="28.5">
      <c r="A57" s="25" t="s">
        <v>96</v>
      </c>
      <c r="B57" s="25" t="s">
        <v>21</v>
      </c>
      <c r="C57" s="25" t="s">
        <v>26</v>
      </c>
      <c r="D57" s="26">
        <v>46038.677083333343</v>
      </c>
      <c r="E57" s="26">
        <v>46040.943749999999</v>
      </c>
      <c r="F57" s="26">
        <v>46041.11041666667</v>
      </c>
      <c r="G57" s="26">
        <v>46045.810416666667</v>
      </c>
      <c r="H57" s="26">
        <v>46041.11041666667</v>
      </c>
      <c r="I57" s="26">
        <v>46046</v>
      </c>
      <c r="J57" s="26" t="s">
        <v>28</v>
      </c>
      <c r="K57" s="25" t="s">
        <v>17</v>
      </c>
      <c r="L57" s="25" t="s">
        <v>17</v>
      </c>
      <c r="M57" s="27" t="s">
        <v>38</v>
      </c>
      <c r="N57" s="1"/>
      <c r="O57" s="3"/>
    </row>
    <row r="58" spans="1:15" ht="28.5" customHeight="1">
      <c r="A58" s="22" t="s">
        <v>97</v>
      </c>
      <c r="B58" s="22" t="s">
        <v>21</v>
      </c>
      <c r="C58" s="22" t="s">
        <v>30</v>
      </c>
      <c r="D58" s="23">
        <v>46060.479166666657</v>
      </c>
      <c r="E58" s="23">
        <v>46063.804166666669</v>
      </c>
      <c r="F58" s="23">
        <v>46063.970833333333</v>
      </c>
      <c r="G58" s="23">
        <v>46067.17083333333</v>
      </c>
      <c r="H58" s="23">
        <v>46066.354166666657</v>
      </c>
      <c r="I58" s="23">
        <v>46068</v>
      </c>
      <c r="J58" s="23" t="s">
        <v>19</v>
      </c>
      <c r="K58" s="22" t="s">
        <v>16</v>
      </c>
      <c r="L58" s="22" t="s">
        <v>16</v>
      </c>
      <c r="M58" s="24" t="s">
        <v>35</v>
      </c>
      <c r="N58" s="1"/>
      <c r="O58" s="3"/>
    </row>
    <row r="59" spans="1:15">
      <c r="A59" s="25" t="s">
        <v>98</v>
      </c>
      <c r="B59" s="25" t="s">
        <v>14</v>
      </c>
      <c r="C59" s="25" t="s">
        <v>42</v>
      </c>
      <c r="D59" s="26">
        <v>46085.375</v>
      </c>
      <c r="E59" s="26">
        <v>46087.10833333333</v>
      </c>
      <c r="F59" s="26">
        <v>46088.60833333333</v>
      </c>
      <c r="G59" s="26">
        <v>46092.308333333327</v>
      </c>
      <c r="H59" s="26">
        <v>46089.385416666657</v>
      </c>
      <c r="I59" s="26">
        <v>46091</v>
      </c>
      <c r="J59" s="26" t="s">
        <v>24</v>
      </c>
      <c r="K59" s="25" t="s">
        <v>17</v>
      </c>
      <c r="L59" s="25" t="s">
        <v>17</v>
      </c>
      <c r="M59" s="27" t="s">
        <v>38</v>
      </c>
      <c r="N59" s="1"/>
      <c r="O59" s="3"/>
    </row>
    <row r="60" spans="1:15" ht="28.5">
      <c r="A60" s="22" t="s">
        <v>99</v>
      </c>
      <c r="B60" s="22" t="s">
        <v>21</v>
      </c>
      <c r="C60" s="22" t="s">
        <v>15</v>
      </c>
      <c r="D60" s="23">
        <v>46074.625</v>
      </c>
      <c r="E60" s="23">
        <v>46077.9375</v>
      </c>
      <c r="F60" s="23">
        <v>46079.4375</v>
      </c>
      <c r="G60" s="23">
        <v>46083.137499999997</v>
      </c>
      <c r="H60" s="23">
        <v>46079.4375</v>
      </c>
      <c r="I60" s="23">
        <v>46083</v>
      </c>
      <c r="J60" s="23" t="s">
        <v>28</v>
      </c>
      <c r="K60" s="22" t="s">
        <v>17</v>
      </c>
      <c r="L60" s="22" t="s">
        <v>17</v>
      </c>
      <c r="M60" s="24" t="s">
        <v>38</v>
      </c>
      <c r="N60" s="1"/>
      <c r="O60" s="3"/>
    </row>
    <row r="61" spans="1:15">
      <c r="A61" s="25" t="s">
        <v>100</v>
      </c>
      <c r="B61" s="25" t="s">
        <v>21</v>
      </c>
      <c r="C61" s="25" t="s">
        <v>42</v>
      </c>
      <c r="D61" s="26">
        <v>46120.59375</v>
      </c>
      <c r="E61" s="26">
        <v>46122.664583333331</v>
      </c>
      <c r="F61" s="26">
        <v>46124.164583333331</v>
      </c>
      <c r="G61" s="26">
        <v>46125.164583333331</v>
      </c>
      <c r="H61" s="26">
        <v>46124.164583333331</v>
      </c>
      <c r="I61" s="26">
        <v>46126</v>
      </c>
      <c r="J61" s="26" t="s">
        <v>19</v>
      </c>
      <c r="K61" s="25" t="s">
        <v>17</v>
      </c>
      <c r="L61" s="25" t="s">
        <v>17</v>
      </c>
      <c r="M61" s="27" t="s">
        <v>31</v>
      </c>
      <c r="N61" s="1"/>
      <c r="O61" s="3"/>
    </row>
    <row r="62" spans="1:15" ht="28.5" customHeight="1">
      <c r="A62" s="22" t="s">
        <v>101</v>
      </c>
      <c r="B62" s="22" t="s">
        <v>21</v>
      </c>
      <c r="C62" s="22" t="s">
        <v>42</v>
      </c>
      <c r="D62" s="23">
        <v>46117.385416666657</v>
      </c>
      <c r="E62" s="23">
        <v>46121.04791666667</v>
      </c>
      <c r="F62" s="23">
        <v>46123.04791666667</v>
      </c>
      <c r="G62" s="23">
        <v>46127.947916666657</v>
      </c>
      <c r="H62" s="23">
        <v>46123.416666666657</v>
      </c>
      <c r="I62" s="23">
        <v>46127</v>
      </c>
      <c r="J62" s="23" t="s">
        <v>28</v>
      </c>
      <c r="K62" s="22" t="s">
        <v>16</v>
      </c>
      <c r="L62" s="22" t="s">
        <v>16</v>
      </c>
      <c r="M62" s="24" t="s">
        <v>44</v>
      </c>
      <c r="N62" s="1"/>
      <c r="O62" s="3"/>
    </row>
    <row r="63" spans="1:15" ht="28.5" customHeight="1">
      <c r="A63" s="25" t="s">
        <v>102</v>
      </c>
      <c r="B63" s="25" t="s">
        <v>21</v>
      </c>
      <c r="C63" s="25" t="s">
        <v>22</v>
      </c>
      <c r="D63" s="26">
        <v>46099.645833333343</v>
      </c>
      <c r="E63" s="26">
        <v>46103.245833333327</v>
      </c>
      <c r="F63" s="26">
        <v>46103.245833333327</v>
      </c>
      <c r="G63" s="26">
        <v>46107.845833333333</v>
      </c>
      <c r="H63" s="26">
        <v>46103.245833333327</v>
      </c>
      <c r="I63" s="26">
        <v>46106</v>
      </c>
      <c r="J63" s="26" t="s">
        <v>39</v>
      </c>
      <c r="K63" s="25" t="s">
        <v>17</v>
      </c>
      <c r="L63" s="25" t="s">
        <v>17</v>
      </c>
      <c r="M63" s="27" t="s">
        <v>86</v>
      </c>
      <c r="N63" s="1"/>
      <c r="O63" s="3"/>
    </row>
    <row r="64" spans="1:15" ht="28.5" customHeight="1">
      <c r="A64" s="22" t="s">
        <v>103</v>
      </c>
      <c r="B64" s="22" t="s">
        <v>21</v>
      </c>
      <c r="C64" s="22" t="s">
        <v>22</v>
      </c>
      <c r="D64" s="23">
        <v>46125.489583333343</v>
      </c>
      <c r="E64" s="23">
        <v>46129.206250000003</v>
      </c>
      <c r="F64" s="23">
        <v>46129.206250000003</v>
      </c>
      <c r="G64" s="23">
        <v>46130.606249999997</v>
      </c>
      <c r="H64" s="23">
        <v>46129.206250000003</v>
      </c>
      <c r="I64" s="23">
        <v>46129</v>
      </c>
      <c r="J64" s="23" t="s">
        <v>19</v>
      </c>
      <c r="K64" s="22" t="s">
        <v>17</v>
      </c>
      <c r="L64" s="22" t="s">
        <v>16</v>
      </c>
      <c r="M64" s="24" t="s">
        <v>18</v>
      </c>
      <c r="N64" s="1"/>
      <c r="O64" s="3"/>
    </row>
    <row r="65" spans="1:15">
      <c r="A65" s="25" t="s">
        <v>104</v>
      </c>
      <c r="B65" s="25" t="s">
        <v>21</v>
      </c>
      <c r="C65" s="25" t="s">
        <v>42</v>
      </c>
      <c r="D65" s="26">
        <v>46118.729166666657</v>
      </c>
      <c r="E65" s="26">
        <v>46120.654166666667</v>
      </c>
      <c r="F65" s="26">
        <v>46121.654166666667</v>
      </c>
      <c r="G65" s="26">
        <v>46128.054166666669</v>
      </c>
      <c r="H65" s="26">
        <v>46122.479166666657</v>
      </c>
      <c r="I65" s="26">
        <v>46128</v>
      </c>
      <c r="J65" s="26" t="s">
        <v>33</v>
      </c>
      <c r="K65" s="25" t="s">
        <v>17</v>
      </c>
      <c r="L65" s="25" t="s">
        <v>17</v>
      </c>
      <c r="M65" s="27" t="s">
        <v>38</v>
      </c>
      <c r="N65" s="1"/>
      <c r="O65" s="3"/>
    </row>
    <row r="66" spans="1:15" ht="28.5" customHeight="1">
      <c r="A66" s="22" t="s">
        <v>105</v>
      </c>
      <c r="B66" s="22" t="s">
        <v>14</v>
      </c>
      <c r="C66" s="22" t="s">
        <v>15</v>
      </c>
      <c r="D66" s="23">
        <v>46078.5625</v>
      </c>
      <c r="E66" s="23">
        <v>46080.15</v>
      </c>
      <c r="F66" s="23">
        <v>46080.15</v>
      </c>
      <c r="G66" s="23">
        <v>46088.65</v>
      </c>
      <c r="H66" s="23">
        <v>46080.395833333343</v>
      </c>
      <c r="I66" s="23">
        <v>46087</v>
      </c>
      <c r="J66" s="23" t="s">
        <v>39</v>
      </c>
      <c r="K66" s="22" t="s">
        <v>17</v>
      </c>
      <c r="L66" s="22" t="s">
        <v>17</v>
      </c>
      <c r="M66" s="24" t="s">
        <v>18</v>
      </c>
      <c r="N66" s="1"/>
      <c r="O66" s="3"/>
    </row>
    <row r="67" spans="1:15">
      <c r="A67" s="25" t="s">
        <v>106</v>
      </c>
      <c r="B67" s="25" t="s">
        <v>21</v>
      </c>
      <c r="C67" s="25" t="s">
        <v>42</v>
      </c>
      <c r="D67" s="26">
        <v>46028.447916666657</v>
      </c>
      <c r="E67" s="26">
        <v>46032.010416666657</v>
      </c>
      <c r="F67" s="26">
        <v>46033.510416666657</v>
      </c>
      <c r="G67" s="26">
        <v>46035.11041666667</v>
      </c>
      <c r="H67" s="26">
        <v>46033.510416666657</v>
      </c>
      <c r="I67" s="26">
        <v>46035</v>
      </c>
      <c r="J67" s="26" t="s">
        <v>19</v>
      </c>
      <c r="K67" s="25" t="s">
        <v>17</v>
      </c>
      <c r="L67" s="25" t="s">
        <v>17</v>
      </c>
      <c r="M67" s="27" t="s">
        <v>38</v>
      </c>
      <c r="N67" s="1"/>
      <c r="O67" s="3"/>
    </row>
    <row r="68" spans="1:15">
      <c r="A68" s="22" t="s">
        <v>107</v>
      </c>
      <c r="B68" s="22" t="s">
        <v>21</v>
      </c>
      <c r="C68" s="22" t="s">
        <v>64</v>
      </c>
      <c r="D68" s="23">
        <v>46067.604166666657</v>
      </c>
      <c r="E68" s="23">
        <v>46068.23333333333</v>
      </c>
      <c r="F68" s="23">
        <v>46068.566666666673</v>
      </c>
      <c r="G68" s="23">
        <v>46070.866666666669</v>
      </c>
      <c r="H68" s="23">
        <v>46068.73333333333</v>
      </c>
      <c r="I68" s="23">
        <v>46070</v>
      </c>
      <c r="J68" s="23" t="s">
        <v>19</v>
      </c>
      <c r="K68" s="22" t="s">
        <v>17</v>
      </c>
      <c r="L68" s="22" t="s">
        <v>17</v>
      </c>
      <c r="M68" s="24" t="s">
        <v>108</v>
      </c>
      <c r="N68" s="1"/>
      <c r="O68" s="3"/>
    </row>
    <row r="69" spans="1:15">
      <c r="A69" s="25" t="s">
        <v>109</v>
      </c>
      <c r="B69" s="25" t="s">
        <v>21</v>
      </c>
      <c r="C69" s="25" t="s">
        <v>15</v>
      </c>
      <c r="D69" s="26">
        <v>46081.395833333343</v>
      </c>
      <c r="E69" s="26">
        <v>46082.1</v>
      </c>
      <c r="F69" s="26">
        <v>46082.433333333327</v>
      </c>
      <c r="G69" s="26">
        <v>46084.23333333333</v>
      </c>
      <c r="H69" s="26">
        <v>46082.433333333327</v>
      </c>
      <c r="I69" s="26">
        <v>46083</v>
      </c>
      <c r="J69" s="26" t="s">
        <v>19</v>
      </c>
      <c r="K69" s="25" t="s">
        <v>17</v>
      </c>
      <c r="L69" s="25" t="s">
        <v>17</v>
      </c>
      <c r="M69" s="27" t="s">
        <v>27</v>
      </c>
      <c r="N69" s="1"/>
      <c r="O69" s="3"/>
    </row>
    <row r="70" spans="1:15" ht="28.5" customHeight="1">
      <c r="A70" s="22" t="s">
        <v>110</v>
      </c>
      <c r="B70" s="22" t="s">
        <v>21</v>
      </c>
      <c r="C70" s="22" t="s">
        <v>64</v>
      </c>
      <c r="D70" s="23">
        <v>46075.34375</v>
      </c>
      <c r="E70" s="23">
        <v>46079.810416666667</v>
      </c>
      <c r="F70" s="23">
        <v>46081.310416666667</v>
      </c>
      <c r="G70" s="23">
        <v>46083.310416666667</v>
      </c>
      <c r="H70" s="23">
        <v>46081.310416666667</v>
      </c>
      <c r="I70" s="23">
        <v>46082</v>
      </c>
      <c r="J70" s="23" t="s">
        <v>19</v>
      </c>
      <c r="K70" s="22" t="s">
        <v>17</v>
      </c>
      <c r="L70" s="22" t="s">
        <v>16</v>
      </c>
      <c r="M70" s="24" t="s">
        <v>18</v>
      </c>
      <c r="N70" s="1"/>
      <c r="O70" s="3"/>
    </row>
    <row r="71" spans="1:15">
      <c r="A71" s="25" t="s">
        <v>111</v>
      </c>
      <c r="B71" s="25" t="s">
        <v>14</v>
      </c>
      <c r="C71" s="25" t="s">
        <v>42</v>
      </c>
      <c r="D71" s="26">
        <v>46085.375</v>
      </c>
      <c r="E71" s="26">
        <v>46087.037499999999</v>
      </c>
      <c r="F71" s="26">
        <v>46089.037499999999</v>
      </c>
      <c r="G71" s="26">
        <v>46092.137499999997</v>
      </c>
      <c r="H71" s="26">
        <v>46091.479166666657</v>
      </c>
      <c r="I71" s="26">
        <v>46090</v>
      </c>
      <c r="J71" s="26" t="s">
        <v>19</v>
      </c>
      <c r="K71" s="25" t="s">
        <v>17</v>
      </c>
      <c r="L71" s="25" t="s">
        <v>17</v>
      </c>
      <c r="M71" s="27" t="s">
        <v>38</v>
      </c>
      <c r="N71" s="1"/>
      <c r="O71" s="3"/>
    </row>
    <row r="72" spans="1:15" ht="28.5" customHeight="1">
      <c r="A72" s="22" t="s">
        <v>112</v>
      </c>
      <c r="B72" s="22" t="s">
        <v>21</v>
      </c>
      <c r="C72" s="22" t="s">
        <v>64</v>
      </c>
      <c r="D72" s="23">
        <v>46038.447916666657</v>
      </c>
      <c r="E72" s="23">
        <v>46040.310416666667</v>
      </c>
      <c r="F72" s="23">
        <v>46042.310416666667</v>
      </c>
      <c r="G72" s="23">
        <v>46045.710416666669</v>
      </c>
      <c r="H72" s="23">
        <v>46045.375</v>
      </c>
      <c r="I72" s="23">
        <v>46045</v>
      </c>
      <c r="J72" s="23" t="s">
        <v>19</v>
      </c>
      <c r="K72" s="22" t="s">
        <v>17</v>
      </c>
      <c r="L72" s="22" t="s">
        <v>17</v>
      </c>
      <c r="M72" s="24" t="s">
        <v>35</v>
      </c>
      <c r="N72" s="1"/>
      <c r="O72" s="3"/>
    </row>
    <row r="73" spans="1:15" ht="28.5" customHeight="1">
      <c r="A73" s="25" t="s">
        <v>113</v>
      </c>
      <c r="B73" s="25" t="s">
        <v>14</v>
      </c>
      <c r="C73" s="25" t="s">
        <v>15</v>
      </c>
      <c r="D73" s="26">
        <v>46099.677083333343</v>
      </c>
      <c r="E73" s="26">
        <v>46102.043749999997</v>
      </c>
      <c r="F73" s="26">
        <v>46102.377083333333</v>
      </c>
      <c r="G73" s="26">
        <v>46109.57708333333</v>
      </c>
      <c r="H73" s="26">
        <v>46103.427083333343</v>
      </c>
      <c r="I73" s="26">
        <v>46107</v>
      </c>
      <c r="J73" s="26" t="s">
        <v>24</v>
      </c>
      <c r="K73" s="25" t="s">
        <v>17</v>
      </c>
      <c r="L73" s="25" t="s">
        <v>17</v>
      </c>
      <c r="M73" s="27" t="s">
        <v>18</v>
      </c>
      <c r="N73" s="1"/>
      <c r="O73" s="3"/>
    </row>
    <row r="74" spans="1:15" ht="28.5" customHeight="1">
      <c r="A74" s="22" t="s">
        <v>114</v>
      </c>
      <c r="B74" s="22" t="s">
        <v>21</v>
      </c>
      <c r="C74" s="22" t="s">
        <v>15</v>
      </c>
      <c r="D74" s="23">
        <v>46059.53125</v>
      </c>
      <c r="E74" s="23">
        <v>46062.48541666667</v>
      </c>
      <c r="F74" s="23">
        <v>46063.48541666667</v>
      </c>
      <c r="G74" s="23">
        <v>46066.085416666669</v>
      </c>
      <c r="H74" s="23">
        <v>46063.48541666667</v>
      </c>
      <c r="I74" s="23">
        <v>46064</v>
      </c>
      <c r="J74" s="23" t="s">
        <v>19</v>
      </c>
      <c r="K74" s="22" t="s">
        <v>17</v>
      </c>
      <c r="L74" s="22" t="s">
        <v>17</v>
      </c>
      <c r="M74" s="24" t="s">
        <v>89</v>
      </c>
      <c r="N74" s="1"/>
      <c r="O74" s="3"/>
    </row>
    <row r="75" spans="1:15" ht="28.5" customHeight="1">
      <c r="A75" s="25" t="s">
        <v>115</v>
      </c>
      <c r="B75" s="25" t="s">
        <v>21</v>
      </c>
      <c r="C75" s="25" t="s">
        <v>30</v>
      </c>
      <c r="D75" s="26">
        <v>46112.489583333343</v>
      </c>
      <c r="E75" s="26">
        <v>46114.943749999999</v>
      </c>
      <c r="F75" s="26">
        <v>46114.943749999999</v>
      </c>
      <c r="G75" s="26">
        <v>46122.543749999997</v>
      </c>
      <c r="H75" s="26">
        <v>46116.458333333343</v>
      </c>
      <c r="I75" s="26">
        <v>46122</v>
      </c>
      <c r="J75" s="26" t="s">
        <v>39</v>
      </c>
      <c r="K75" s="25" t="s">
        <v>17</v>
      </c>
      <c r="L75" s="25" t="s">
        <v>17</v>
      </c>
      <c r="M75" s="27" t="s">
        <v>35</v>
      </c>
      <c r="N75" s="1"/>
      <c r="O75" s="3"/>
    </row>
    <row r="76" spans="1:15" ht="28.5" customHeight="1">
      <c r="A76" s="22" t="s">
        <v>116</v>
      </c>
      <c r="B76" s="22" t="s">
        <v>21</v>
      </c>
      <c r="C76" s="22" t="s">
        <v>64</v>
      </c>
      <c r="D76" s="23">
        <v>46027.4375</v>
      </c>
      <c r="E76" s="23">
        <v>46031.004166666673</v>
      </c>
      <c r="F76" s="23">
        <v>46032.004166666673</v>
      </c>
      <c r="G76" s="23">
        <v>46033.20416666667</v>
      </c>
      <c r="H76" s="23">
        <v>46032.004166666673</v>
      </c>
      <c r="I76" s="23">
        <v>46033</v>
      </c>
      <c r="J76" s="23" t="s">
        <v>19</v>
      </c>
      <c r="K76" s="22" t="s">
        <v>17</v>
      </c>
      <c r="L76" s="22" t="s">
        <v>16</v>
      </c>
      <c r="M76" s="24" t="s">
        <v>35</v>
      </c>
      <c r="N76" s="1"/>
      <c r="O76" s="3"/>
    </row>
    <row r="77" spans="1:15" ht="28.5" customHeight="1">
      <c r="A77" s="25" t="s">
        <v>117</v>
      </c>
      <c r="B77" s="25" t="s">
        <v>14</v>
      </c>
      <c r="C77" s="25" t="s">
        <v>26</v>
      </c>
      <c r="D77" s="26">
        <v>46056.572916666657</v>
      </c>
      <c r="E77" s="26">
        <v>46057.372916666667</v>
      </c>
      <c r="F77" s="26">
        <v>46059.372916666667</v>
      </c>
      <c r="G77" s="26">
        <v>46060.372916666667</v>
      </c>
      <c r="H77" s="26">
        <v>46059.46875</v>
      </c>
      <c r="I77" s="26">
        <v>46060</v>
      </c>
      <c r="J77" s="26" t="s">
        <v>19</v>
      </c>
      <c r="K77" s="25" t="s">
        <v>17</v>
      </c>
      <c r="L77" s="25" t="s">
        <v>17</v>
      </c>
      <c r="M77" s="27" t="s">
        <v>44</v>
      </c>
      <c r="N77" s="1"/>
      <c r="O77" s="3"/>
    </row>
    <row r="78" spans="1:15" ht="28.5">
      <c r="A78" s="22" t="s">
        <v>118</v>
      </c>
      <c r="B78" s="22" t="s">
        <v>21</v>
      </c>
      <c r="C78" s="22" t="s">
        <v>42</v>
      </c>
      <c r="D78" s="23">
        <v>46027.708333333343</v>
      </c>
      <c r="E78" s="23">
        <v>46030.133333333331</v>
      </c>
      <c r="F78" s="23">
        <v>46030.466666666667</v>
      </c>
      <c r="G78" s="23">
        <v>46037.666666666657</v>
      </c>
      <c r="H78" s="23">
        <v>46033.427083333343</v>
      </c>
      <c r="I78" s="23">
        <v>46035</v>
      </c>
      <c r="J78" s="23" t="s">
        <v>28</v>
      </c>
      <c r="K78" s="22" t="s">
        <v>17</v>
      </c>
      <c r="L78" s="22" t="s">
        <v>17</v>
      </c>
      <c r="M78" s="24" t="s">
        <v>38</v>
      </c>
      <c r="N78" s="1"/>
      <c r="O78" s="3"/>
    </row>
    <row r="79" spans="1:15" ht="28.5" customHeight="1">
      <c r="A79" s="25" t="s">
        <v>119</v>
      </c>
      <c r="B79" s="25" t="s">
        <v>14</v>
      </c>
      <c r="C79" s="25" t="s">
        <v>15</v>
      </c>
      <c r="D79" s="26">
        <v>46061.333333333343</v>
      </c>
      <c r="E79" s="26">
        <v>46062.487500000003</v>
      </c>
      <c r="F79" s="26">
        <v>46062.820833333331</v>
      </c>
      <c r="G79" s="26">
        <v>46067.620833333327</v>
      </c>
      <c r="H79" s="26">
        <v>46063.416666666657</v>
      </c>
      <c r="I79" s="26">
        <v>46066</v>
      </c>
      <c r="J79" s="26" t="s">
        <v>24</v>
      </c>
      <c r="K79" s="25" t="s">
        <v>16</v>
      </c>
      <c r="L79" s="25" t="s">
        <v>17</v>
      </c>
      <c r="M79" s="27" t="s">
        <v>35</v>
      </c>
      <c r="N79" s="1"/>
      <c r="O79" s="3"/>
    </row>
    <row r="80" spans="1:15">
      <c r="A80" s="22" t="s">
        <v>120</v>
      </c>
      <c r="B80" s="22" t="s">
        <v>21</v>
      </c>
      <c r="C80" s="22" t="s">
        <v>30</v>
      </c>
      <c r="D80" s="23">
        <v>46045.40625</v>
      </c>
      <c r="E80" s="23">
        <v>46047.20208333333</v>
      </c>
      <c r="F80" s="23">
        <v>46048.70208333333</v>
      </c>
      <c r="G80" s="23">
        <v>46051.902083333327</v>
      </c>
      <c r="H80" s="23">
        <v>46049.416666666657</v>
      </c>
      <c r="I80" s="23">
        <v>46051</v>
      </c>
      <c r="J80" s="23" t="s">
        <v>19</v>
      </c>
      <c r="K80" s="22" t="s">
        <v>17</v>
      </c>
      <c r="L80" s="22" t="s">
        <v>17</v>
      </c>
      <c r="M80" s="24" t="s">
        <v>31</v>
      </c>
      <c r="N80" s="1"/>
      <c r="O80" s="3"/>
    </row>
    <row r="81" spans="1:15" ht="28.5" customHeight="1">
      <c r="A81" s="25" t="s">
        <v>121</v>
      </c>
      <c r="B81" s="25" t="s">
        <v>14</v>
      </c>
      <c r="C81" s="25" t="s">
        <v>42</v>
      </c>
      <c r="D81" s="26">
        <v>46109.677083333343</v>
      </c>
      <c r="E81" s="26">
        <v>46111.647916666669</v>
      </c>
      <c r="F81" s="26">
        <v>46113.147916666669</v>
      </c>
      <c r="G81" s="26">
        <v>46119.54791666667</v>
      </c>
      <c r="H81" s="26">
        <v>46113.314583333333</v>
      </c>
      <c r="I81" s="26">
        <v>46119</v>
      </c>
      <c r="J81" s="26" t="s">
        <v>36</v>
      </c>
      <c r="K81" s="25" t="s">
        <v>17</v>
      </c>
      <c r="L81" s="25" t="s">
        <v>17</v>
      </c>
      <c r="M81" s="27" t="s">
        <v>18</v>
      </c>
      <c r="N81" s="1"/>
      <c r="O81" s="3"/>
    </row>
    <row r="82" spans="1:15">
      <c r="A82" s="22" t="s">
        <v>122</v>
      </c>
      <c r="B82" s="22" t="s">
        <v>21</v>
      </c>
      <c r="C82" s="22" t="s">
        <v>30</v>
      </c>
      <c r="D82" s="23">
        <v>46072.625</v>
      </c>
      <c r="E82" s="23">
        <v>46075.012499999997</v>
      </c>
      <c r="F82" s="23">
        <v>46076.512499999997</v>
      </c>
      <c r="G82" s="23">
        <v>46083.3125</v>
      </c>
      <c r="H82" s="23">
        <v>46076.512499999997</v>
      </c>
      <c r="I82" s="23">
        <v>46084</v>
      </c>
      <c r="J82" s="23" t="s">
        <v>33</v>
      </c>
      <c r="K82" s="22" t="s">
        <v>17</v>
      </c>
      <c r="L82" s="22" t="s">
        <v>16</v>
      </c>
      <c r="M82" s="24" t="s">
        <v>23</v>
      </c>
      <c r="N82" s="1"/>
      <c r="O82" s="3"/>
    </row>
    <row r="83" spans="1:15" ht="28.5" customHeight="1">
      <c r="A83" s="25" t="s">
        <v>123</v>
      </c>
      <c r="B83" s="25" t="s">
        <v>14</v>
      </c>
      <c r="C83" s="25" t="s">
        <v>15</v>
      </c>
      <c r="D83" s="26">
        <v>46133.364583333343</v>
      </c>
      <c r="E83" s="26">
        <v>46134.95208333333</v>
      </c>
      <c r="F83" s="26">
        <v>46135.118750000001</v>
      </c>
      <c r="G83" s="26">
        <v>46135.618750000001</v>
      </c>
      <c r="H83" s="26">
        <v>46135.285416666673</v>
      </c>
      <c r="I83" s="26">
        <v>46136</v>
      </c>
      <c r="J83" s="26" t="s">
        <v>19</v>
      </c>
      <c r="K83" s="25" t="s">
        <v>17</v>
      </c>
      <c r="L83" s="25" t="s">
        <v>17</v>
      </c>
      <c r="M83" s="27" t="s">
        <v>35</v>
      </c>
      <c r="N83" s="1"/>
      <c r="O83" s="3"/>
    </row>
    <row r="84" spans="1:15" ht="28.5" customHeight="1">
      <c r="A84" s="22" t="s">
        <v>124</v>
      </c>
      <c r="B84" s="22" t="s">
        <v>21</v>
      </c>
      <c r="C84" s="22" t="s">
        <v>22</v>
      </c>
      <c r="D84" s="23">
        <v>46035.354166666657</v>
      </c>
      <c r="E84" s="23">
        <v>46037.70416666667</v>
      </c>
      <c r="F84" s="23">
        <v>46038.037499999999</v>
      </c>
      <c r="G84" s="23">
        <v>46041.737500000003</v>
      </c>
      <c r="H84" s="23">
        <v>46038.385416666657</v>
      </c>
      <c r="I84" s="23">
        <v>46040</v>
      </c>
      <c r="J84" s="23" t="s">
        <v>33</v>
      </c>
      <c r="K84" s="22" t="s">
        <v>16</v>
      </c>
      <c r="L84" s="22" t="s">
        <v>17</v>
      </c>
      <c r="M84" s="24" t="s">
        <v>35</v>
      </c>
      <c r="N84" s="1"/>
      <c r="O84" s="3"/>
    </row>
    <row r="85" spans="1:15" ht="28.5" customHeight="1">
      <c r="A85" s="25" t="s">
        <v>125</v>
      </c>
      <c r="B85" s="25" t="s">
        <v>21</v>
      </c>
      <c r="C85" s="25" t="s">
        <v>30</v>
      </c>
      <c r="D85" s="26">
        <v>46039.6875</v>
      </c>
      <c r="E85" s="26">
        <v>46040.020833333343</v>
      </c>
      <c r="F85" s="26">
        <v>46040.1875</v>
      </c>
      <c r="G85" s="26">
        <v>46043.487500000003</v>
      </c>
      <c r="H85" s="26">
        <v>46040.354166666657</v>
      </c>
      <c r="I85" s="26">
        <v>46042</v>
      </c>
      <c r="J85" s="26" t="s">
        <v>19</v>
      </c>
      <c r="K85" s="25" t="s">
        <v>17</v>
      </c>
      <c r="L85" s="25" t="s">
        <v>17</v>
      </c>
      <c r="M85" s="27" t="s">
        <v>89</v>
      </c>
      <c r="N85" s="1"/>
      <c r="O85" s="3"/>
    </row>
    <row r="86" spans="1:15">
      <c r="A86" s="22" t="s">
        <v>126</v>
      </c>
      <c r="B86" s="22" t="s">
        <v>14</v>
      </c>
      <c r="C86" s="22" t="s">
        <v>26</v>
      </c>
      <c r="D86" s="23">
        <v>46032.427083333343</v>
      </c>
      <c r="E86" s="23">
        <v>46033.997916666667</v>
      </c>
      <c r="F86" s="23">
        <v>46034.997916666667</v>
      </c>
      <c r="G86" s="23">
        <v>46036.697916666657</v>
      </c>
      <c r="H86" s="23">
        <v>46034.997916666667</v>
      </c>
      <c r="I86" s="23">
        <v>46036</v>
      </c>
      <c r="J86" s="23" t="s">
        <v>19</v>
      </c>
      <c r="K86" s="22" t="s">
        <v>17</v>
      </c>
      <c r="L86" s="22" t="s">
        <v>17</v>
      </c>
      <c r="M86" s="24" t="s">
        <v>83</v>
      </c>
      <c r="N86" s="1"/>
      <c r="O86" s="3"/>
    </row>
    <row r="87" spans="1:15" ht="28.5" customHeight="1">
      <c r="A87" s="25" t="s">
        <v>127</v>
      </c>
      <c r="B87" s="25" t="s">
        <v>21</v>
      </c>
      <c r="C87" s="25" t="s">
        <v>26</v>
      </c>
      <c r="D87" s="26">
        <v>46091.40625</v>
      </c>
      <c r="E87" s="26">
        <v>46092.664583333331</v>
      </c>
      <c r="F87" s="26">
        <v>46092.997916666667</v>
      </c>
      <c r="G87" s="26">
        <v>46099.597916666673</v>
      </c>
      <c r="H87" s="26">
        <v>46093.427083333343</v>
      </c>
      <c r="I87" s="26">
        <v>46097</v>
      </c>
      <c r="J87" s="26" t="s">
        <v>36</v>
      </c>
      <c r="K87" s="25" t="s">
        <v>17</v>
      </c>
      <c r="L87" s="25" t="s">
        <v>17</v>
      </c>
      <c r="M87" s="27" t="s">
        <v>48</v>
      </c>
      <c r="N87" s="1"/>
      <c r="O87" s="3"/>
    </row>
    <row r="88" spans="1:15">
      <c r="A88" s="22" t="s">
        <v>128</v>
      </c>
      <c r="B88" s="22" t="s">
        <v>14</v>
      </c>
      <c r="C88" s="22" t="s">
        <v>15</v>
      </c>
      <c r="D88" s="23">
        <v>46136.6875</v>
      </c>
      <c r="E88" s="23">
        <v>46138.112500000003</v>
      </c>
      <c r="F88" s="23">
        <v>46138.112500000003</v>
      </c>
      <c r="G88" s="23">
        <v>46141.612500000003</v>
      </c>
      <c r="H88" s="23">
        <v>46138.279166666667</v>
      </c>
      <c r="I88" s="23">
        <v>46140</v>
      </c>
      <c r="J88" s="23" t="s">
        <v>19</v>
      </c>
      <c r="K88" s="22" t="s">
        <v>17</v>
      </c>
      <c r="L88" s="22" t="s">
        <v>17</v>
      </c>
      <c r="M88" s="24" t="s">
        <v>38</v>
      </c>
      <c r="N88" s="1"/>
      <c r="O88" s="3"/>
    </row>
    <row r="89" spans="1:15">
      <c r="A89" s="25" t="s">
        <v>129</v>
      </c>
      <c r="B89" s="25" t="s">
        <v>21</v>
      </c>
      <c r="C89" s="25" t="s">
        <v>30</v>
      </c>
      <c r="D89" s="26">
        <v>46028.354166666657</v>
      </c>
      <c r="E89" s="26">
        <v>46031.1</v>
      </c>
      <c r="F89" s="26">
        <v>46031.26666666667</v>
      </c>
      <c r="G89" s="26">
        <v>46035.466666666667</v>
      </c>
      <c r="H89" s="26">
        <v>46033.427083333343</v>
      </c>
      <c r="I89" s="26">
        <v>46033</v>
      </c>
      <c r="J89" s="26" t="s">
        <v>39</v>
      </c>
      <c r="K89" s="25" t="s">
        <v>16</v>
      </c>
      <c r="L89" s="25" t="s">
        <v>17</v>
      </c>
      <c r="M89" s="27" t="s">
        <v>27</v>
      </c>
      <c r="N89" s="1"/>
      <c r="O89" s="3"/>
    </row>
    <row r="90" spans="1:15" ht="28.5" customHeight="1">
      <c r="A90" s="22" t="s">
        <v>130</v>
      </c>
      <c r="B90" s="22" t="s">
        <v>14</v>
      </c>
      <c r="C90" s="22" t="s">
        <v>26</v>
      </c>
      <c r="D90" s="23">
        <v>46116.447916666657</v>
      </c>
      <c r="E90" s="23">
        <v>46117.277083333327</v>
      </c>
      <c r="F90" s="23">
        <v>46118.777083333327</v>
      </c>
      <c r="G90" s="23">
        <v>46119.877083333333</v>
      </c>
      <c r="H90" s="23">
        <v>46118.777083333327</v>
      </c>
      <c r="I90" s="23">
        <v>46120</v>
      </c>
      <c r="J90" s="23" t="s">
        <v>19</v>
      </c>
      <c r="K90" s="22" t="s">
        <v>17</v>
      </c>
      <c r="L90" s="22" t="s">
        <v>16</v>
      </c>
      <c r="M90" s="24" t="s">
        <v>44</v>
      </c>
      <c r="N90" s="1"/>
      <c r="O90" s="3"/>
    </row>
    <row r="91" spans="1:15" ht="28.5" customHeight="1">
      <c r="A91" s="25" t="s">
        <v>131</v>
      </c>
      <c r="B91" s="25" t="s">
        <v>14</v>
      </c>
      <c r="C91" s="25" t="s">
        <v>22</v>
      </c>
      <c r="D91" s="26">
        <v>46132.541666666657</v>
      </c>
      <c r="E91" s="26">
        <v>46134.087500000001</v>
      </c>
      <c r="F91" s="26">
        <v>46136.087500000001</v>
      </c>
      <c r="G91" s="26">
        <v>46140.087500000001</v>
      </c>
      <c r="H91" s="26">
        <v>46136.254166666673</v>
      </c>
      <c r="I91" s="26">
        <v>46139</v>
      </c>
      <c r="J91" s="26" t="s">
        <v>36</v>
      </c>
      <c r="K91" s="25" t="s">
        <v>17</v>
      </c>
      <c r="L91" s="25" t="s">
        <v>16</v>
      </c>
      <c r="M91" s="27" t="s">
        <v>44</v>
      </c>
      <c r="N91" s="1"/>
      <c r="O91" s="3"/>
    </row>
    <row r="92" spans="1:15" ht="28.5" customHeight="1">
      <c r="A92" s="22" t="s">
        <v>132</v>
      </c>
      <c r="B92" s="22" t="s">
        <v>14</v>
      </c>
      <c r="C92" s="22" t="s">
        <v>26</v>
      </c>
      <c r="D92" s="23">
        <v>46105.708333333343</v>
      </c>
      <c r="E92" s="23">
        <v>46107.220833333333</v>
      </c>
      <c r="F92" s="23">
        <v>46107.387499999997</v>
      </c>
      <c r="G92" s="23">
        <v>46112.1875</v>
      </c>
      <c r="H92" s="23">
        <v>46107.554166666669</v>
      </c>
      <c r="I92" s="23">
        <v>46110</v>
      </c>
      <c r="J92" s="23" t="s">
        <v>33</v>
      </c>
      <c r="K92" s="22" t="s">
        <v>17</v>
      </c>
      <c r="L92" s="22" t="s">
        <v>17</v>
      </c>
      <c r="M92" s="24" t="s">
        <v>86</v>
      </c>
      <c r="N92" s="1"/>
      <c r="O92" s="3"/>
    </row>
    <row r="93" spans="1:15" ht="28.5" customHeight="1">
      <c r="A93" s="25" t="s">
        <v>133</v>
      </c>
      <c r="B93" s="25" t="s">
        <v>21</v>
      </c>
      <c r="C93" s="25" t="s">
        <v>30</v>
      </c>
      <c r="D93" s="26">
        <v>46127.479166666657</v>
      </c>
      <c r="E93" s="26">
        <v>46130.01666666667</v>
      </c>
      <c r="F93" s="26">
        <v>46131.51666666667</v>
      </c>
      <c r="G93" s="26">
        <v>46139.51666666667</v>
      </c>
      <c r="H93" s="26">
        <v>46132.416666666657</v>
      </c>
      <c r="I93" s="26">
        <v>46139</v>
      </c>
      <c r="J93" s="26" t="s">
        <v>28</v>
      </c>
      <c r="K93" s="25" t="s">
        <v>16</v>
      </c>
      <c r="L93" s="25" t="s">
        <v>16</v>
      </c>
      <c r="M93" s="27" t="s">
        <v>35</v>
      </c>
      <c r="N93" s="1"/>
      <c r="O93" s="3"/>
    </row>
    <row r="94" spans="1:15">
      <c r="A94" s="22" t="s">
        <v>134</v>
      </c>
      <c r="B94" s="22" t="s">
        <v>21</v>
      </c>
      <c r="C94" s="22" t="s">
        <v>15</v>
      </c>
      <c r="D94" s="23">
        <v>46107.34375</v>
      </c>
      <c r="E94" s="23">
        <v>46111.247916666667</v>
      </c>
      <c r="F94" s="23">
        <v>46111.414583333331</v>
      </c>
      <c r="G94" s="23">
        <v>46115.914583333331</v>
      </c>
      <c r="H94" s="23">
        <v>46111.414583333331</v>
      </c>
      <c r="I94" s="23">
        <v>46114</v>
      </c>
      <c r="J94" s="23" t="s">
        <v>33</v>
      </c>
      <c r="K94" s="22" t="s">
        <v>16</v>
      </c>
      <c r="L94" s="22" t="s">
        <v>17</v>
      </c>
      <c r="M94" s="24" t="s">
        <v>23</v>
      </c>
      <c r="N94" s="1"/>
      <c r="O94" s="3"/>
    </row>
    <row r="95" spans="1:15">
      <c r="A95" s="25" t="s">
        <v>135</v>
      </c>
      <c r="B95" s="25" t="s">
        <v>14</v>
      </c>
      <c r="C95" s="25" t="s">
        <v>15</v>
      </c>
      <c r="D95" s="26">
        <v>46031.65625</v>
      </c>
      <c r="E95" s="26">
        <v>46032.939583333333</v>
      </c>
      <c r="F95" s="26">
        <v>46032.939583333333</v>
      </c>
      <c r="G95" s="26">
        <v>46034.739583333343</v>
      </c>
      <c r="H95" s="26">
        <v>46033.34375</v>
      </c>
      <c r="I95" s="26">
        <v>46034</v>
      </c>
      <c r="J95" s="26" t="s">
        <v>19</v>
      </c>
      <c r="K95" s="25" t="s">
        <v>17</v>
      </c>
      <c r="L95" s="25" t="s">
        <v>17</v>
      </c>
      <c r="M95" s="27" t="s">
        <v>27</v>
      </c>
      <c r="N95" s="1"/>
      <c r="O95" s="3"/>
    </row>
    <row r="96" spans="1:15" ht="28.5" customHeight="1">
      <c r="A96" s="22" t="s">
        <v>136</v>
      </c>
      <c r="B96" s="22" t="s">
        <v>14</v>
      </c>
      <c r="C96" s="22" t="s">
        <v>30</v>
      </c>
      <c r="D96" s="23">
        <v>46026.364583333343</v>
      </c>
      <c r="E96" s="23">
        <v>46027.785416666673</v>
      </c>
      <c r="F96" s="23">
        <v>46027.785416666673</v>
      </c>
      <c r="G96" s="23">
        <v>46030.285416666673</v>
      </c>
      <c r="H96" s="23">
        <v>46028.46875</v>
      </c>
      <c r="I96" s="23">
        <v>46029</v>
      </c>
      <c r="J96" s="23" t="s">
        <v>19</v>
      </c>
      <c r="K96" s="22" t="s">
        <v>17</v>
      </c>
      <c r="L96" s="22" t="s">
        <v>16</v>
      </c>
      <c r="M96" s="24" t="s">
        <v>86</v>
      </c>
      <c r="N96" s="1"/>
      <c r="O96" s="3"/>
    </row>
    <row r="97" spans="1:15">
      <c r="A97" s="25" t="s">
        <v>137</v>
      </c>
      <c r="B97" s="25" t="s">
        <v>14</v>
      </c>
      <c r="C97" s="25" t="s">
        <v>15</v>
      </c>
      <c r="D97" s="26">
        <v>46058.729166666657</v>
      </c>
      <c r="E97" s="26">
        <v>46059.587500000001</v>
      </c>
      <c r="F97" s="26">
        <v>46059.92083333333</v>
      </c>
      <c r="G97" s="26">
        <v>46065.92083333333</v>
      </c>
      <c r="H97" s="26">
        <v>46060.333333333343</v>
      </c>
      <c r="I97" s="26">
        <v>46065</v>
      </c>
      <c r="J97" s="26" t="s">
        <v>33</v>
      </c>
      <c r="K97" s="25" t="s">
        <v>17</v>
      </c>
      <c r="L97" s="25" t="s">
        <v>16</v>
      </c>
      <c r="M97" s="27" t="s">
        <v>27</v>
      </c>
      <c r="N97" s="1"/>
      <c r="O97" s="3"/>
    </row>
    <row r="98" spans="1:15" ht="28.5" customHeight="1">
      <c r="A98" s="22" t="s">
        <v>138</v>
      </c>
      <c r="B98" s="22" t="s">
        <v>21</v>
      </c>
      <c r="C98" s="22" t="s">
        <v>22</v>
      </c>
      <c r="D98" s="23">
        <v>46133.489583333343</v>
      </c>
      <c r="E98" s="23">
        <v>46135.152083333327</v>
      </c>
      <c r="F98" s="23">
        <v>46135.48541666667</v>
      </c>
      <c r="G98" s="23">
        <v>46140.085416666669</v>
      </c>
      <c r="H98" s="23">
        <v>46135.458333333343</v>
      </c>
      <c r="I98" s="23">
        <v>46138</v>
      </c>
      <c r="J98" s="23" t="s">
        <v>36</v>
      </c>
      <c r="K98" s="22" t="s">
        <v>17</v>
      </c>
      <c r="L98" s="22" t="s">
        <v>17</v>
      </c>
      <c r="M98" s="24" t="s">
        <v>89</v>
      </c>
      <c r="N98" s="1"/>
      <c r="O98" s="3"/>
    </row>
    <row r="99" spans="1:15" ht="28.5" customHeight="1">
      <c r="A99" s="25" t="s">
        <v>139</v>
      </c>
      <c r="B99" s="25" t="s">
        <v>14</v>
      </c>
      <c r="C99" s="25" t="s">
        <v>30</v>
      </c>
      <c r="D99" s="26">
        <v>46042.625</v>
      </c>
      <c r="E99" s="26">
        <v>46043.958333333343</v>
      </c>
      <c r="F99" s="26">
        <v>46044.958333333343</v>
      </c>
      <c r="G99" s="26">
        <v>46049.658333333333</v>
      </c>
      <c r="H99" s="26">
        <v>46045.125</v>
      </c>
      <c r="I99" s="26">
        <v>46048</v>
      </c>
      <c r="J99" s="26" t="s">
        <v>28</v>
      </c>
      <c r="K99" s="25" t="s">
        <v>17</v>
      </c>
      <c r="L99" s="25"/>
      <c r="M99" s="27" t="s">
        <v>86</v>
      </c>
      <c r="N99" s="1"/>
      <c r="O99" s="3"/>
    </row>
    <row r="100" spans="1:15" ht="28.5" customHeight="1">
      <c r="A100" s="22" t="s">
        <v>140</v>
      </c>
      <c r="B100" s="22" t="s">
        <v>21</v>
      </c>
      <c r="C100" s="22" t="s">
        <v>42</v>
      </c>
      <c r="D100" s="23">
        <v>46094.541666666657</v>
      </c>
      <c r="E100" s="23">
        <v>46095.254166666673</v>
      </c>
      <c r="F100" s="23">
        <v>46096.254166666673</v>
      </c>
      <c r="G100" s="23">
        <v>46102.654166666667</v>
      </c>
      <c r="H100" s="23">
        <v>46096.479166666657</v>
      </c>
      <c r="I100" s="23">
        <v>46100</v>
      </c>
      <c r="J100" s="23" t="s">
        <v>24</v>
      </c>
      <c r="K100" s="22" t="s">
        <v>17</v>
      </c>
      <c r="L100" s="22" t="s">
        <v>17</v>
      </c>
      <c r="M100" s="24" t="s">
        <v>89</v>
      </c>
      <c r="N100" s="1"/>
      <c r="O100" s="3"/>
    </row>
    <row r="101" spans="1:15" ht="28.5" customHeight="1" thickBot="1">
      <c r="A101" s="25" t="s">
        <v>141</v>
      </c>
      <c r="B101" s="25" t="s">
        <v>21</v>
      </c>
      <c r="C101" s="25" t="s">
        <v>15</v>
      </c>
      <c r="D101" s="26">
        <v>46096.677083333343</v>
      </c>
      <c r="E101" s="26">
        <v>46099.560416666667</v>
      </c>
      <c r="F101" s="26">
        <v>46099.560416666667</v>
      </c>
      <c r="G101" s="26">
        <v>46105.660416666673</v>
      </c>
      <c r="H101" s="26">
        <v>46101.458333333343</v>
      </c>
      <c r="I101" s="26">
        <v>46106</v>
      </c>
      <c r="J101" s="26" t="s">
        <v>24</v>
      </c>
      <c r="K101" s="25" t="s">
        <v>17</v>
      </c>
      <c r="L101" s="25" t="s">
        <v>16</v>
      </c>
      <c r="M101" s="27" t="s">
        <v>48</v>
      </c>
      <c r="N101" s="1"/>
      <c r="O101" s="3"/>
    </row>
    <row r="102" spans="1:15" ht="15.75" thickTop="1">
      <c r="A102" s="28"/>
      <c r="B102" s="28"/>
      <c r="C102" s="28"/>
      <c r="D102" s="28"/>
      <c r="E102" s="28"/>
      <c r="F102" s="29"/>
      <c r="G102" s="29"/>
      <c r="H102" s="29"/>
      <c r="I102" s="29"/>
      <c r="J102" s="29" t="s">
        <v>54</v>
      </c>
      <c r="K102" s="29"/>
      <c r="L102" s="28"/>
      <c r="M102" s="30"/>
      <c r="N102" s="1"/>
      <c r="O102" s="3"/>
    </row>
  </sheetData>
  <pageMargins left="0.7" right="0.7" top="0.75" bottom="0.75" header="0.3" footer="0.3"/>
  <pageSetup paperSize="9"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102"/>
  <sheetViews>
    <sheetView tabSelected="1" zoomScale="89" zoomScaleNormal="89" workbookViewId="0">
      <pane ySplit="2" topLeftCell="A79" activePane="bottomLeft" state="frozen"/>
      <selection pane="bottomLeft" activeCell="J102" sqref="J102"/>
    </sheetView>
  </sheetViews>
  <sheetFormatPr defaultColWidth="18" defaultRowHeight="24.95" customHeight="1"/>
  <cols>
    <col min="1" max="1" width="13.25" style="5" customWidth="1"/>
    <col min="2" max="3" width="18" style="5" customWidth="1"/>
    <col min="4" max="4" width="19.875" style="1" customWidth="1"/>
    <col min="5" max="5" width="18.875" style="1" customWidth="1"/>
    <col min="6" max="7" width="18.75" style="1" customWidth="1"/>
    <col min="8" max="8" width="23.5" style="1" customWidth="1"/>
    <col min="9" max="9" width="23" style="1" customWidth="1"/>
    <col min="10" max="10" width="31.375" style="3" customWidth="1"/>
    <col min="11" max="11" width="27.5" style="5" customWidth="1"/>
    <col min="12" max="12" width="18" style="7" customWidth="1"/>
    <col min="13" max="13" width="24.875" style="7" customWidth="1"/>
    <col min="14" max="14" width="18" style="9" customWidth="1"/>
    <col min="15" max="15" width="21.625" style="9" customWidth="1"/>
    <col min="16" max="16" width="30.75" style="9" customWidth="1"/>
    <col min="17" max="17" width="24.625" customWidth="1"/>
    <col min="18" max="18" width="17.5" customWidth="1"/>
  </cols>
  <sheetData>
    <row r="1" spans="1:30" ht="27.95" customHeight="1">
      <c r="A1" s="43" t="s">
        <v>0</v>
      </c>
      <c r="B1" s="43" t="s">
        <v>1</v>
      </c>
      <c r="C1" s="43" t="s">
        <v>2</v>
      </c>
      <c r="D1" s="51" t="s">
        <v>3</v>
      </c>
      <c r="E1" s="51" t="s">
        <v>4</v>
      </c>
      <c r="F1" s="51" t="s">
        <v>5</v>
      </c>
      <c r="G1" s="51" t="s">
        <v>6</v>
      </c>
      <c r="H1" s="51" t="s">
        <v>10</v>
      </c>
      <c r="I1" s="51" t="s">
        <v>11</v>
      </c>
      <c r="J1" s="43" t="s">
        <v>12</v>
      </c>
      <c r="K1" s="47" t="s">
        <v>9</v>
      </c>
      <c r="L1" s="43" t="s">
        <v>142</v>
      </c>
      <c r="M1" s="43" t="s">
        <v>181</v>
      </c>
      <c r="N1" s="43" t="s">
        <v>143</v>
      </c>
      <c r="O1" s="43" t="s">
        <v>182</v>
      </c>
      <c r="P1" s="43" t="s">
        <v>183</v>
      </c>
      <c r="Q1" s="43" t="s">
        <v>185</v>
      </c>
      <c r="R1" s="43" t="s">
        <v>221</v>
      </c>
      <c r="S1" s="43" t="s">
        <v>158</v>
      </c>
      <c r="T1">
        <f>COUNTIF(N2:N101,"&lt;3.5")</f>
        <v>36</v>
      </c>
    </row>
    <row r="2" spans="1:30" ht="24.95" customHeight="1">
      <c r="A2" s="50" t="s">
        <v>13</v>
      </c>
      <c r="B2" s="44" t="s">
        <v>14</v>
      </c>
      <c r="C2" s="44" t="s">
        <v>15</v>
      </c>
      <c r="D2" s="52">
        <v>46035.5625</v>
      </c>
      <c r="E2" s="52">
        <v>46036.258333333331</v>
      </c>
      <c r="F2" s="52">
        <v>46038.258333333331</v>
      </c>
      <c r="G2" s="52">
        <v>46040.258333333331</v>
      </c>
      <c r="H2" s="52">
        <v>46038.354166666657</v>
      </c>
      <c r="I2" s="52">
        <v>46039</v>
      </c>
      <c r="J2" s="45" t="s">
        <v>19</v>
      </c>
      <c r="K2" s="46" t="s">
        <v>18</v>
      </c>
      <c r="L2" s="48">
        <f>(Table8[[#This Row],[Garage_Booked_DateTime]] - Table8[[#This Row],[Defect_Reported_DateTime]])*24</f>
        <v>16.699999999953434</v>
      </c>
      <c r="M2" s="48" t="str">
        <f>IF(Table8[[#This Row],[Vehicle_Type]]&lt;&gt;"Specialised", "Not Applicable", IF(Table8[[#This Row],[Hours_To_Book]]&gt;48, "Yes", "No"))</f>
        <v>No</v>
      </c>
      <c r="N2" s="49">
        <f>(Table8[[#This Row],[Garage_Out_Date]]-Table8[[#This Row],[Garage_In_Date]])</f>
        <v>2</v>
      </c>
      <c r="O2" s="49" t="str">
        <f>IF(Table8[[#This Row],[Total_VOR_Days]] &gt;3.5, "Yes", "No")</f>
        <v>No</v>
      </c>
      <c r="P2" s="49" t="str">
        <f>IF(Table8[[#This Row],[Vehicle_Type]] &lt;&gt; "Specialised", "Not Applicable", IF(AND(Table8[[#This Row],[Hours_To_Book]] &lt;=48, Table8[[#This Row],[Total_VOR_Days]] &gt;3.5), "Ineffective", "Effective"))</f>
        <v>Effective</v>
      </c>
      <c r="Q2" s="53">
        <f>IF(OR(Table8[[#This Row],[Garage_In_Date]]="",Table8[[#This Row],[Actual_Repair_Start_Date]]=""),"N/A",(Table8[[#This Row],[Actual_Repair_Start_Date]]-Table8[[#This Row],[Garage_In_Date]])*24)</f>
        <v>2.2999999998137355</v>
      </c>
      <c r="R2" s="53" t="str">
        <f>_xlfn.XLOOKUP(Table8[[#This Row],[Vehicle_ID]],Table5[Vehicle_ID],Table5[MOT_Linked],"Not Found")</f>
        <v>Yes</v>
      </c>
      <c r="S2" s="53"/>
      <c r="T2" s="3"/>
      <c r="U2" s="3"/>
      <c r="V2" s="3"/>
      <c r="W2" s="3"/>
      <c r="X2" s="5"/>
      <c r="Y2" s="7"/>
      <c r="Z2" s="7"/>
      <c r="AA2" s="9"/>
      <c r="AB2" s="9"/>
      <c r="AC2" s="9"/>
      <c r="AD2" s="6"/>
    </row>
    <row r="3" spans="1:30" ht="24.95" customHeight="1">
      <c r="A3" s="37" t="s">
        <v>20</v>
      </c>
      <c r="B3" s="38" t="s">
        <v>21</v>
      </c>
      <c r="C3" s="38" t="s">
        <v>22</v>
      </c>
      <c r="D3" s="26">
        <v>46102.552083333343</v>
      </c>
      <c r="E3" s="26">
        <v>46104.76458333333</v>
      </c>
      <c r="F3" s="26">
        <v>46104.931250000001</v>
      </c>
      <c r="G3" s="26">
        <v>46108.53125</v>
      </c>
      <c r="H3" s="26">
        <v>46105.097916666673</v>
      </c>
      <c r="I3" s="26">
        <v>46108</v>
      </c>
      <c r="J3" s="40" t="s">
        <v>184</v>
      </c>
      <c r="K3" s="42" t="s">
        <v>23</v>
      </c>
      <c r="L3" s="39">
        <f>(Table8[[#This Row],[Garage_Booked_DateTime]] - Table8[[#This Row],[Defect_Reported_DateTime]])*24</f>
        <v>53.099999999685679</v>
      </c>
      <c r="M3" s="39" t="str">
        <f>IF(Table8[[#This Row],[Vehicle_Type]]&lt;&gt;"Specialised", "Not Applicable", IF(Table8[[#This Row],[Hours_To_Book]]&gt;48, "Yes", "No"))</f>
        <v>Not Applicable</v>
      </c>
      <c r="N3" s="41">
        <f>(Table8[[#This Row],[Garage_Out_Date]]-Table8[[#This Row],[Garage_In_Date]])</f>
        <v>3.5999999999985448</v>
      </c>
      <c r="O3" s="41" t="str">
        <f>IF(Table8[[#This Row],[Total_VOR_Days]] &gt;3.5, "Yes", "No")</f>
        <v>Yes</v>
      </c>
      <c r="P3" s="35" t="str">
        <f>IF(Table8[[#This Row],[Vehicle_Type]] &lt;&gt; "Specialised", "Not Applicable", IF(AND(Table8[[#This Row],[Hours_To_Book]] &lt;=48, Table8[[#This Row],[Total_VOR_Days]] &gt;3.5), "Ineffective", "Effective"))</f>
        <v>Not Applicable</v>
      </c>
      <c r="Q3" s="53">
        <f>IF(OR(Table8[[#This Row],[Garage_In_Date]]="",Table8[[#This Row],[Actual_Repair_Start_Date]]=""),"N/A",(Table8[[#This Row],[Actual_Repair_Start_Date]]-Table8[[#This Row],[Garage_In_Date]])*24)</f>
        <v>4.0000000001164153</v>
      </c>
      <c r="R3" s="53" t="str">
        <f>_xlfn.XLOOKUP(Table8[[#This Row],[Vehicle_ID]],Table5[Vehicle_ID],Table5[MOT_Linked],"Not Found")</f>
        <v>No</v>
      </c>
      <c r="S3" s="53"/>
      <c r="T3" s="3"/>
      <c r="U3" s="3"/>
      <c r="V3" s="3"/>
      <c r="W3" s="3"/>
      <c r="X3" s="5"/>
      <c r="Y3" s="7"/>
      <c r="Z3" s="7"/>
      <c r="AA3" s="9"/>
      <c r="AB3" s="9"/>
      <c r="AC3" s="9"/>
      <c r="AD3" s="6"/>
    </row>
    <row r="4" spans="1:30" ht="24.95" customHeight="1">
      <c r="A4" s="31" t="s">
        <v>25</v>
      </c>
      <c r="B4" s="32" t="s">
        <v>21</v>
      </c>
      <c r="C4" s="32" t="s">
        <v>26</v>
      </c>
      <c r="D4" s="23">
        <v>46081.552083333343</v>
      </c>
      <c r="E4" s="23">
        <v>46083.414583333331</v>
      </c>
      <c r="F4" s="23">
        <v>46083.747916666667</v>
      </c>
      <c r="G4" s="23">
        <v>46088.947916666657</v>
      </c>
      <c r="H4" s="23">
        <v>46083.914583333331</v>
      </c>
      <c r="I4" s="23">
        <v>46087</v>
      </c>
      <c r="J4" s="34" t="s">
        <v>28</v>
      </c>
      <c r="K4" s="36" t="s">
        <v>27</v>
      </c>
      <c r="L4" s="33">
        <f>(Table8[[#This Row],[Garage_Booked_DateTime]] - Table8[[#This Row],[Defect_Reported_DateTime]])*24</f>
        <v>44.699999999720603</v>
      </c>
      <c r="M4" s="33" t="str">
        <f>IF(Table8[[#This Row],[Vehicle_Type]]&lt;&gt;"Specialised", "Not Applicable", IF(Table8[[#This Row],[Hours_To_Book]]&gt;48, "Yes", "No"))</f>
        <v>Not Applicable</v>
      </c>
      <c r="N4" s="35">
        <f>(Table8[[#This Row],[Garage_Out_Date]]-Table8[[#This Row],[Garage_In_Date]])</f>
        <v>5.1999999999898137</v>
      </c>
      <c r="O4" s="35" t="str">
        <f>IF(Table8[[#This Row],[Total_VOR_Days]] &gt;3.5, "Yes", "No")</f>
        <v>Yes</v>
      </c>
      <c r="P4" s="35" t="str">
        <f>IF(Table8[[#This Row],[Vehicle_Type]] &lt;&gt; "Specialised", "Not Applicable", IF(AND(Table8[[#This Row],[Hours_To_Book]] &lt;=48, Table8[[#This Row],[Total_VOR_Days]] &gt;3.5), "Ineffective", "Effective"))</f>
        <v>Not Applicable</v>
      </c>
      <c r="Q4" s="53">
        <f>IF(OR(Table8[[#This Row],[Garage_In_Date]]="",Table8[[#This Row],[Actual_Repair_Start_Date]]=""),"N/A",(Table8[[#This Row],[Actual_Repair_Start_Date]]-Table8[[#This Row],[Garage_In_Date]])*24)</f>
        <v>3.9999999999417923</v>
      </c>
      <c r="R4" s="53" t="str">
        <f>_xlfn.XLOOKUP(Table8[[#This Row],[Vehicle_ID]],Table5[Vehicle_ID],Table5[MOT_Linked],"Not Found")</f>
        <v>No</v>
      </c>
      <c r="S4" s="53"/>
      <c r="T4" s="3"/>
      <c r="U4" s="3"/>
      <c r="V4" s="3"/>
      <c r="W4" s="3"/>
      <c r="X4" s="5"/>
      <c r="Y4" s="7"/>
      <c r="Z4" s="7"/>
      <c r="AA4" s="9"/>
      <c r="AB4" s="9"/>
      <c r="AC4" s="9"/>
      <c r="AD4" s="6"/>
    </row>
    <row r="5" spans="1:30" ht="24.95" customHeight="1">
      <c r="A5" s="37" t="s">
        <v>29</v>
      </c>
      <c r="B5" s="38" t="s">
        <v>14</v>
      </c>
      <c r="C5" s="38" t="s">
        <v>30</v>
      </c>
      <c r="D5" s="26">
        <v>46082.604166666657</v>
      </c>
      <c r="E5" s="26">
        <v>46084.316666666673</v>
      </c>
      <c r="F5" s="26">
        <v>46085.816666666673</v>
      </c>
      <c r="G5" s="26">
        <v>46089.816666666673</v>
      </c>
      <c r="H5" s="26">
        <v>46085.98333333333</v>
      </c>
      <c r="I5" s="26">
        <v>46088</v>
      </c>
      <c r="J5" s="40" t="s">
        <v>180</v>
      </c>
      <c r="K5" s="42" t="s">
        <v>31</v>
      </c>
      <c r="L5" s="39">
        <f>(Table8[[#This Row],[Garage_Booked_DateTime]] - Table8[[#This Row],[Defect_Reported_DateTime]])*24</f>
        <v>41.100000000384171</v>
      </c>
      <c r="M5" s="39" t="str">
        <f>IF(Table8[[#This Row],[Vehicle_Type]]&lt;&gt;"Specialised", "Not Applicable", IF(Table8[[#This Row],[Hours_To_Book]]&gt;48, "Yes", "No"))</f>
        <v>No</v>
      </c>
      <c r="N5" s="41">
        <f>(Table8[[#This Row],[Garage_Out_Date]]-Table8[[#This Row],[Garage_In_Date]])</f>
        <v>4</v>
      </c>
      <c r="O5" s="41" t="str">
        <f>IF(Table8[[#This Row],[Total_VOR_Days]] &gt;3.5, "Yes", "No")</f>
        <v>Yes</v>
      </c>
      <c r="P5" s="35" t="str">
        <f>IF(Table8[[#This Row],[Vehicle_Type]] &lt;&gt; "Specialised", "Not Applicable", IF(AND(Table8[[#This Row],[Hours_To_Book]] &lt;=48, Table8[[#This Row],[Total_VOR_Days]] &gt;3.5), "Ineffective", "Effective"))</f>
        <v>Ineffective</v>
      </c>
      <c r="Q5" s="53">
        <f>IF(OR(Table8[[#This Row],[Garage_In_Date]]="",Table8[[#This Row],[Actual_Repair_Start_Date]]=""),"N/A",(Table8[[#This Row],[Actual_Repair_Start_Date]]-Table8[[#This Row],[Garage_In_Date]])*24)</f>
        <v>3.9999999997671694</v>
      </c>
      <c r="R5" s="53" t="str">
        <f>_xlfn.XLOOKUP(Table8[[#This Row],[Vehicle_ID]],Table5[Vehicle_ID],Table5[MOT_Linked],"Not Found")</f>
        <v>No</v>
      </c>
      <c r="S5" s="53"/>
      <c r="T5" s="3"/>
      <c r="U5" s="3"/>
      <c r="V5" s="3"/>
      <c r="W5" s="3"/>
      <c r="X5" s="5"/>
      <c r="Y5" s="7"/>
      <c r="Z5" s="7"/>
      <c r="AA5" s="9"/>
      <c r="AB5" s="9"/>
      <c r="AC5" s="9"/>
      <c r="AD5" s="6"/>
    </row>
    <row r="6" spans="1:30" ht="24.95" customHeight="1">
      <c r="A6" s="31" t="s">
        <v>32</v>
      </c>
      <c r="B6" s="32" t="s">
        <v>14</v>
      </c>
      <c r="C6" s="32" t="s">
        <v>30</v>
      </c>
      <c r="D6" s="23">
        <v>46031.479166666657</v>
      </c>
      <c r="E6" s="23">
        <v>46032.783333333333</v>
      </c>
      <c r="F6" s="23">
        <v>46034.783333333333</v>
      </c>
      <c r="G6" s="23">
        <v>46041.283333333333</v>
      </c>
      <c r="H6" s="23">
        <v>46035.354166666657</v>
      </c>
      <c r="I6" s="23">
        <v>46039</v>
      </c>
      <c r="J6" s="34" t="s">
        <v>33</v>
      </c>
      <c r="K6" s="36" t="s">
        <v>18</v>
      </c>
      <c r="L6" s="33">
        <f>(Table8[[#This Row],[Garage_Booked_DateTime]] - Table8[[#This Row],[Defect_Reported_DateTime]])*24</f>
        <v>31.300000000221189</v>
      </c>
      <c r="M6" s="33" t="str">
        <f>IF(Table8[[#This Row],[Vehicle_Type]]&lt;&gt;"Specialised", "Not Applicable", IF(Table8[[#This Row],[Hours_To_Book]]&gt;48, "Yes", "No"))</f>
        <v>No</v>
      </c>
      <c r="N6" s="35">
        <f>(Table8[[#This Row],[Garage_Out_Date]]-Table8[[#This Row],[Garage_In_Date]])</f>
        <v>6.5</v>
      </c>
      <c r="O6" s="35" t="str">
        <f>IF(Table8[[#This Row],[Total_VOR_Days]] &gt;3.5, "Yes", "No")</f>
        <v>Yes</v>
      </c>
      <c r="P6" s="35" t="str">
        <f>IF(Table8[[#This Row],[Vehicle_Type]] &lt;&gt; "Specialised", "Not Applicable", IF(AND(Table8[[#This Row],[Hours_To_Book]] &lt;=48, Table8[[#This Row],[Total_VOR_Days]] &gt;3.5), "Ineffective", "Effective"))</f>
        <v>Ineffective</v>
      </c>
      <c r="Q6" s="53">
        <f>IF(OR(Table8[[#This Row],[Garage_In_Date]]="",Table8[[#This Row],[Actual_Repair_Start_Date]]=""),"N/A",(Table8[[#This Row],[Actual_Repair_Start_Date]]-Table8[[#This Row],[Garage_In_Date]])*24)</f>
        <v>13.699999999778811</v>
      </c>
      <c r="R6" s="53" t="str">
        <f>_xlfn.XLOOKUP(Table8[[#This Row],[Vehicle_ID]],Table5[Vehicle_ID],Table5[MOT_Linked],"Not Found")</f>
        <v>No</v>
      </c>
      <c r="S6" s="53"/>
      <c r="T6" s="3"/>
      <c r="U6" s="3"/>
      <c r="V6" s="3"/>
      <c r="W6" s="3"/>
      <c r="X6" s="5"/>
      <c r="Y6" s="7"/>
      <c r="Z6" s="7"/>
      <c r="AA6" s="9"/>
      <c r="AB6" s="9"/>
      <c r="AC6" s="9"/>
      <c r="AD6" s="6"/>
    </row>
    <row r="7" spans="1:30" ht="24.95" customHeight="1">
      <c r="A7" s="37" t="s">
        <v>34</v>
      </c>
      <c r="B7" s="38" t="s">
        <v>21</v>
      </c>
      <c r="C7" s="38" t="s">
        <v>22</v>
      </c>
      <c r="D7" s="26">
        <v>46097.614583333343</v>
      </c>
      <c r="E7" s="26">
        <v>46097.947916666657</v>
      </c>
      <c r="F7" s="26">
        <v>46098.114583333343</v>
      </c>
      <c r="G7" s="26">
        <v>46107.51458333333</v>
      </c>
      <c r="H7" s="26">
        <v>46098.114583333343</v>
      </c>
      <c r="I7" s="26">
        <v>46106</v>
      </c>
      <c r="J7" s="40" t="s">
        <v>36</v>
      </c>
      <c r="K7" s="42" t="s">
        <v>35</v>
      </c>
      <c r="L7" s="39">
        <f>(Table8[[#This Row],[Garage_Booked_DateTime]] - Table8[[#This Row],[Defect_Reported_DateTime]])*24</f>
        <v>7.9999999995343387</v>
      </c>
      <c r="M7" s="39" t="str">
        <f>IF(Table8[[#This Row],[Vehicle_Type]]&lt;&gt;"Specialised", "Not Applicable", IF(Table8[[#This Row],[Hours_To_Book]]&gt;48, "Yes", "No"))</f>
        <v>Not Applicable</v>
      </c>
      <c r="N7" s="41">
        <f>(Table8[[#This Row],[Garage_Out_Date]]-Table8[[#This Row],[Garage_In_Date]])</f>
        <v>9.3999999999869033</v>
      </c>
      <c r="O7" s="41" t="str">
        <f>IF(Table8[[#This Row],[Total_VOR_Days]] &gt;3.5, "Yes", "No")</f>
        <v>Yes</v>
      </c>
      <c r="P7" s="41" t="str">
        <f>IF(Table8[[#This Row],[Vehicle_Type]] &lt;&gt; "Specialised", "Not Applicable", IF(AND(Table8[[#This Row],[Hours_To_Book]] &lt;=48, Table8[[#This Row],[Total_VOR_Days]] &gt;3.5), "Ineffective", "Effective"))</f>
        <v>Not Applicable</v>
      </c>
      <c r="Q7" s="53">
        <f>IF(OR(Table8[[#This Row],[Garage_In_Date]]="",Table8[[#This Row],[Actual_Repair_Start_Date]]=""),"N/A",(Table8[[#This Row],[Actual_Repair_Start_Date]]-Table8[[#This Row],[Garage_In_Date]])*24)</f>
        <v>0</v>
      </c>
      <c r="R7" s="53" t="str">
        <f>_xlfn.XLOOKUP(Table8[[#This Row],[Vehicle_ID]],Table5[Vehicle_ID],Table5[MOT_Linked],"Not Found")</f>
        <v>Yes</v>
      </c>
      <c r="S7" s="53"/>
      <c r="T7" s="3"/>
      <c r="U7" s="3"/>
      <c r="V7" s="3"/>
      <c r="W7" s="3"/>
      <c r="X7" s="5"/>
      <c r="Y7" s="7"/>
      <c r="Z7" s="7"/>
      <c r="AA7" s="9"/>
      <c r="AB7" s="9"/>
      <c r="AC7" s="9"/>
      <c r="AD7" s="6"/>
    </row>
    <row r="8" spans="1:30" ht="24.95" customHeight="1">
      <c r="A8" s="31" t="s">
        <v>37</v>
      </c>
      <c r="B8" s="32" t="s">
        <v>21</v>
      </c>
      <c r="C8" s="32" t="s">
        <v>22</v>
      </c>
      <c r="D8" s="23">
        <v>46077.708333333343</v>
      </c>
      <c r="E8" s="23">
        <v>46079.074999999997</v>
      </c>
      <c r="F8" s="23">
        <v>46080.074999999997</v>
      </c>
      <c r="G8" s="23">
        <v>46086.074999999997</v>
      </c>
      <c r="H8" s="23">
        <v>46080.395833333343</v>
      </c>
      <c r="I8" s="23">
        <v>46085</v>
      </c>
      <c r="J8" s="34" t="s">
        <v>180</v>
      </c>
      <c r="K8" s="36" t="s">
        <v>38</v>
      </c>
      <c r="L8" s="33">
        <f>(Table8[[#This Row],[Garage_Booked_DateTime]] - Table8[[#This Row],[Defect_Reported_DateTime]])*24</f>
        <v>32.79999999969732</v>
      </c>
      <c r="M8" s="33" t="str">
        <f>IF(Table8[[#This Row],[Vehicle_Type]]&lt;&gt;"Specialised", "Not Applicable", IF(Table8[[#This Row],[Hours_To_Book]]&gt;48, "Yes", "No"))</f>
        <v>Not Applicable</v>
      </c>
      <c r="N8" s="35">
        <f>(Table8[[#This Row],[Garage_Out_Date]]-Table8[[#This Row],[Garage_In_Date]])</f>
        <v>6</v>
      </c>
      <c r="O8" s="35" t="str">
        <f>IF(Table8[[#This Row],[Total_VOR_Days]] &gt;3.5, "Yes", "No")</f>
        <v>Yes</v>
      </c>
      <c r="P8" s="35" t="str">
        <f>IF(Table8[[#This Row],[Vehicle_Type]] &lt;&gt; "Specialised", "Not Applicable", IF(AND(Table8[[#This Row],[Hours_To_Book]] &lt;=48, Table8[[#This Row],[Total_VOR_Days]] &gt;3.5), "Ineffective", "Effective"))</f>
        <v>Not Applicable</v>
      </c>
      <c r="Q8" s="53">
        <f>IF(OR(Table8[[#This Row],[Garage_In_Date]]="",Table8[[#This Row],[Actual_Repair_Start_Date]]=""),"N/A",(Table8[[#This Row],[Actual_Repair_Start_Date]]-Table8[[#This Row],[Garage_In_Date]])*24)</f>
        <v>7.7000000003026798</v>
      </c>
      <c r="R8" s="53" t="str">
        <f>_xlfn.XLOOKUP(Table8[[#This Row],[Vehicle_ID]],Table5[Vehicle_ID],Table5[MOT_Linked],"Not Found")</f>
        <v>No</v>
      </c>
      <c r="S8" s="53"/>
      <c r="T8" s="3"/>
      <c r="U8" s="3"/>
      <c r="V8" s="3"/>
      <c r="W8" s="3"/>
      <c r="X8" s="5"/>
      <c r="Y8" s="7"/>
      <c r="Z8" s="7"/>
      <c r="AA8" s="9"/>
      <c r="AB8" s="9"/>
      <c r="AC8" s="9"/>
      <c r="AD8" s="6"/>
    </row>
    <row r="9" spans="1:30" ht="24.95" customHeight="1" thickBot="1">
      <c r="A9" s="37" t="s">
        <v>40</v>
      </c>
      <c r="B9" s="38" t="s">
        <v>21</v>
      </c>
      <c r="C9" s="38" t="s">
        <v>22</v>
      </c>
      <c r="D9" s="26">
        <v>46136.6875</v>
      </c>
      <c r="E9" s="26">
        <v>46139.074999999997</v>
      </c>
      <c r="F9" s="26">
        <v>46139.408333333333</v>
      </c>
      <c r="G9" s="26">
        <v>46141.808333333327</v>
      </c>
      <c r="H9" s="26">
        <v>46139.408333333333</v>
      </c>
      <c r="I9" s="26">
        <v>46140</v>
      </c>
      <c r="J9" s="40" t="s">
        <v>19</v>
      </c>
      <c r="K9" s="42" t="s">
        <v>18</v>
      </c>
      <c r="L9" s="39">
        <f>(Table8[[#This Row],[Garage_Booked_DateTime]] - Table8[[#This Row],[Defect_Reported_DateTime]])*24</f>
        <v>57.299999999930151</v>
      </c>
      <c r="M9" s="39" t="str">
        <f>IF(Table8[[#This Row],[Vehicle_Type]]&lt;&gt;"Specialised", "Not Applicable", IF(Table8[[#This Row],[Hours_To_Book]]&gt;48, "Yes", "No"))</f>
        <v>Not Applicable</v>
      </c>
      <c r="N9" s="41">
        <f>(Table8[[#This Row],[Garage_Out_Date]]-Table8[[#This Row],[Garage_In_Date]])</f>
        <v>2.3999999999941792</v>
      </c>
      <c r="O9" s="41" t="str">
        <f>IF(Table8[[#This Row],[Total_VOR_Days]] &gt;3.5, "Yes", "No")</f>
        <v>No</v>
      </c>
      <c r="P9" s="41" t="str">
        <f>IF(Table8[[#This Row],[Vehicle_Type]] &lt;&gt; "Specialised", "Not Applicable", IF(AND(Table8[[#This Row],[Hours_To_Book]] &lt;=48, Table8[[#This Row],[Total_VOR_Days]] &gt;3.5), "Ineffective", "Effective"))</f>
        <v>Not Applicable</v>
      </c>
      <c r="Q9" s="53">
        <f>IF(OR(Table8[[#This Row],[Garage_In_Date]]="",Table8[[#This Row],[Actual_Repair_Start_Date]]=""),"N/A",(Table8[[#This Row],[Actual_Repair_Start_Date]]-Table8[[#This Row],[Garage_In_Date]])*24)</f>
        <v>0</v>
      </c>
      <c r="R9" s="53" t="str">
        <f>_xlfn.XLOOKUP(Table8[[#This Row],[Vehicle_ID]],Table5[Vehicle_ID],Table5[MOT_Linked],"Not Found")</f>
        <v>No</v>
      </c>
      <c r="S9" s="53"/>
      <c r="T9" s="3"/>
      <c r="U9" s="3"/>
      <c r="V9" s="3"/>
      <c r="W9" s="3"/>
      <c r="X9" s="5"/>
      <c r="Y9" s="7"/>
      <c r="Z9" s="7"/>
      <c r="AA9" s="9"/>
      <c r="AB9" s="9"/>
      <c r="AC9" s="9"/>
      <c r="AD9" s="6"/>
    </row>
    <row r="10" spans="1:30" ht="24.95" customHeight="1" thickBot="1">
      <c r="A10" s="31" t="s">
        <v>41</v>
      </c>
      <c r="B10" s="32" t="s">
        <v>21</v>
      </c>
      <c r="C10" s="32" t="s">
        <v>42</v>
      </c>
      <c r="D10" s="23">
        <v>46120.416666666657</v>
      </c>
      <c r="E10" s="23">
        <v>46123.237500000003</v>
      </c>
      <c r="F10" s="23">
        <v>46125.237500000003</v>
      </c>
      <c r="G10" s="23">
        <v>46128.237500000003</v>
      </c>
      <c r="H10" s="23">
        <v>46125.404166666667</v>
      </c>
      <c r="I10" s="23">
        <v>46128</v>
      </c>
      <c r="J10" s="34" t="s">
        <v>19</v>
      </c>
      <c r="K10" s="36" t="s">
        <v>27</v>
      </c>
      <c r="L10" s="33">
        <f>(Table8[[#This Row],[Garage_Booked_DateTime]] - Table8[[#This Row],[Defect_Reported_DateTime]])*24</f>
        <v>67.70000000030268</v>
      </c>
      <c r="M10" s="33" t="str">
        <f>IF(Table8[[#This Row],[Vehicle_Type]]&lt;&gt;"Specialised", "Not Applicable", IF(Table8[[#This Row],[Hours_To_Book]]&gt;48, "Yes", "No"))</f>
        <v>Not Applicable</v>
      </c>
      <c r="N10" s="35">
        <f>(Table8[[#This Row],[Garage_Out_Date]]-Table8[[#This Row],[Garage_In_Date]])</f>
        <v>3</v>
      </c>
      <c r="O10" s="35" t="str">
        <f>IF(Table8[[#This Row],[Total_VOR_Days]] &gt;3.5, "Yes", "No")</f>
        <v>No</v>
      </c>
      <c r="P10" s="35" t="str">
        <f>IF(Table8[[#This Row],[Vehicle_Type]] &lt;&gt; "Specialised", "Not Applicable", IF(AND(Table8[[#This Row],[Hours_To_Book]] &lt;=48, Table8[[#This Row],[Total_VOR_Days]] &gt;3.5), "Ineffective", "Effective"))</f>
        <v>Not Applicable</v>
      </c>
      <c r="Q10" s="53">
        <f>IF(OR(Table8[[#This Row],[Garage_In_Date]]="",Table8[[#This Row],[Actual_Repair_Start_Date]]=""),"N/A",(Table8[[#This Row],[Actual_Repair_Start_Date]]-Table8[[#This Row],[Garage_In_Date]])*24)</f>
        <v>3.9999999999417923</v>
      </c>
      <c r="R10" s="53" t="str">
        <f>_xlfn.XLOOKUP(Table8[[#This Row],[Vehicle_ID]],Table5[Vehicle_ID],Table5[MOT_Linked],"Not Found")</f>
        <v>Yes</v>
      </c>
      <c r="S10" s="53"/>
      <c r="T10" s="85">
        <f>_xlfn.XLOOKUP("Joey Special Auto Centre", Table8[Garage_Name], Table8[Total_VOR_Days])</f>
        <v>2</v>
      </c>
      <c r="U10" s="3"/>
      <c r="V10" s="3"/>
      <c r="W10" s="3"/>
      <c r="X10" s="5"/>
      <c r="Y10" s="7"/>
      <c r="Z10" s="7"/>
      <c r="AA10" s="9"/>
      <c r="AB10" s="9"/>
      <c r="AC10" s="9"/>
      <c r="AD10" s="6"/>
    </row>
    <row r="11" spans="1:30" ht="24.95" customHeight="1">
      <c r="A11" s="37" t="s">
        <v>43</v>
      </c>
      <c r="B11" s="38" t="s">
        <v>21</v>
      </c>
      <c r="C11" s="38" t="s">
        <v>15</v>
      </c>
      <c r="D11" s="26">
        <v>46099.572916666657</v>
      </c>
      <c r="E11" s="26">
        <v>46103.956250000003</v>
      </c>
      <c r="F11" s="26">
        <v>46104.289583333331</v>
      </c>
      <c r="G11" s="26">
        <v>46109.089583333327</v>
      </c>
      <c r="H11" s="26">
        <v>46107.416666666657</v>
      </c>
      <c r="I11" s="26">
        <v>46110</v>
      </c>
      <c r="J11" s="40" t="s">
        <v>28</v>
      </c>
      <c r="K11" s="42" t="s">
        <v>44</v>
      </c>
      <c r="L11" s="39">
        <f>(Table8[[#This Row],[Garage_Booked_DateTime]] - Table8[[#This Row],[Defect_Reported_DateTime]])*24</f>
        <v>105.20000000030268</v>
      </c>
      <c r="M11" s="39" t="str">
        <f>IF(Table8[[#This Row],[Vehicle_Type]]&lt;&gt;"Specialised", "Not Applicable", IF(Table8[[#This Row],[Hours_To_Book]]&gt;48, "Yes", "No"))</f>
        <v>Not Applicable</v>
      </c>
      <c r="N11" s="41">
        <f>(Table8[[#This Row],[Garage_Out_Date]]-Table8[[#This Row],[Garage_In_Date]])</f>
        <v>4.7999999999956344</v>
      </c>
      <c r="O11" s="41" t="str">
        <f>IF(Table8[[#This Row],[Total_VOR_Days]] &gt;3.5, "Yes", "No")</f>
        <v>Yes</v>
      </c>
      <c r="P11" s="41" t="str">
        <f>IF(Table8[[#This Row],[Vehicle_Type]] &lt;&gt; "Specialised", "Not Applicable", IF(AND(Table8[[#This Row],[Hours_To_Book]] &lt;=48, Table8[[#This Row],[Total_VOR_Days]] &gt;3.5), "Ineffective", "Effective"))</f>
        <v>Not Applicable</v>
      </c>
      <c r="Q11" s="53">
        <f>IF(OR(Table8[[#This Row],[Garage_In_Date]]="",Table8[[#This Row],[Actual_Repair_Start_Date]]=""),"N/A",(Table8[[#This Row],[Actual_Repair_Start_Date]]-Table8[[#This Row],[Garage_In_Date]])*24)</f>
        <v>75.049999999813735</v>
      </c>
      <c r="R11" s="53" t="str">
        <f>_xlfn.XLOOKUP(Table8[[#This Row],[Vehicle_ID]],Table5[Vehicle_ID],Table5[MOT_Linked],"Not Found")</f>
        <v>No</v>
      </c>
      <c r="S11" s="53"/>
      <c r="T11" s="3"/>
      <c r="U11" s="3"/>
      <c r="V11" s="3"/>
      <c r="W11" s="3"/>
      <c r="X11" s="5"/>
      <c r="Y11" s="7"/>
      <c r="Z11" s="7"/>
      <c r="AA11" s="9"/>
      <c r="AB11" s="9"/>
      <c r="AC11" s="9"/>
      <c r="AD11" s="6"/>
    </row>
    <row r="12" spans="1:30" ht="24.95" customHeight="1">
      <c r="A12" s="31" t="s">
        <v>45</v>
      </c>
      <c r="B12" s="32" t="s">
        <v>21</v>
      </c>
      <c r="C12" s="32" t="s">
        <v>15</v>
      </c>
      <c r="D12" s="23">
        <v>46120.677083333343</v>
      </c>
      <c r="E12" s="23">
        <v>46123.689583333333</v>
      </c>
      <c r="F12" s="23">
        <v>46125.189583333333</v>
      </c>
      <c r="G12" s="23">
        <v>46130.989583333343</v>
      </c>
      <c r="H12" s="23">
        <v>46125.385416666657</v>
      </c>
      <c r="I12" s="23">
        <v>46130</v>
      </c>
      <c r="J12" s="34" t="s">
        <v>36</v>
      </c>
      <c r="K12" s="36" t="s">
        <v>27</v>
      </c>
      <c r="L12" s="33">
        <f>(Table8[[#This Row],[Garage_Booked_DateTime]] - Table8[[#This Row],[Defect_Reported_DateTime]])*24</f>
        <v>72.299999999755528</v>
      </c>
      <c r="M12" s="33" t="str">
        <f>IF(Table8[[#This Row],[Vehicle_Type]]&lt;&gt;"Specialised", "Not Applicable", IF(Table8[[#This Row],[Hours_To_Book]]&gt;48, "Yes", "No"))</f>
        <v>Not Applicable</v>
      </c>
      <c r="N12" s="35">
        <f>(Table8[[#This Row],[Garage_Out_Date]]-Table8[[#This Row],[Garage_In_Date]])</f>
        <v>5.8000000000101863</v>
      </c>
      <c r="O12" s="35" t="str">
        <f>IF(Table8[[#This Row],[Total_VOR_Days]] &gt;3.5, "Yes", "No")</f>
        <v>Yes</v>
      </c>
      <c r="P12" s="35" t="str">
        <f>IF(Table8[[#This Row],[Vehicle_Type]] &lt;&gt; "Specialised", "Not Applicable", IF(AND(Table8[[#This Row],[Hours_To_Book]] &lt;=48, Table8[[#This Row],[Total_VOR_Days]] &gt;3.5), "Ineffective", "Effective"))</f>
        <v>Not Applicable</v>
      </c>
      <c r="Q12" s="53">
        <f>IF(OR(Table8[[#This Row],[Garage_In_Date]]="",Table8[[#This Row],[Actual_Repair_Start_Date]]=""),"N/A",(Table8[[#This Row],[Actual_Repair_Start_Date]]-Table8[[#This Row],[Garage_In_Date]])*24)</f>
        <v>4.6999999997788109</v>
      </c>
      <c r="R12" s="53" t="str">
        <f>_xlfn.XLOOKUP(Table8[[#This Row],[Vehicle_ID]],Table5[Vehicle_ID],Table5[MOT_Linked],"Not Found")</f>
        <v>No</v>
      </c>
      <c r="S12" s="53" t="s">
        <v>223</v>
      </c>
      <c r="T12" s="4">
        <f>AVERAGEIF(Table8[Primary_Delay_Reason],"Parts on Backorder",Table8[Total_VOR_Days])</f>
        <v>6.1999999999990303</v>
      </c>
      <c r="U12" s="3"/>
      <c r="V12" s="3"/>
      <c r="W12" s="3"/>
      <c r="X12" s="5"/>
      <c r="Y12" s="7"/>
      <c r="Z12" s="7"/>
      <c r="AA12" s="9"/>
      <c r="AB12" s="9"/>
      <c r="AC12" s="9"/>
      <c r="AD12" s="6"/>
    </row>
    <row r="13" spans="1:30" ht="24.95" customHeight="1">
      <c r="A13" s="37" t="s">
        <v>46</v>
      </c>
      <c r="B13" s="38" t="s">
        <v>14</v>
      </c>
      <c r="C13" s="38" t="s">
        <v>26</v>
      </c>
      <c r="D13" s="26">
        <v>46114.53125</v>
      </c>
      <c r="E13" s="26">
        <v>46116.252083333333</v>
      </c>
      <c r="F13" s="26">
        <v>46117.252083333333</v>
      </c>
      <c r="G13" s="26">
        <v>46121.352083333331</v>
      </c>
      <c r="H13" s="26">
        <v>46117.252083333333</v>
      </c>
      <c r="I13" s="26">
        <v>46119</v>
      </c>
      <c r="J13" s="40" t="s">
        <v>36</v>
      </c>
      <c r="K13" s="42" t="s">
        <v>31</v>
      </c>
      <c r="L13" s="39">
        <f>(Table8[[#This Row],[Garage_Booked_DateTime]] - Table8[[#This Row],[Defect_Reported_DateTime]])*24</f>
        <v>41.299999999988358</v>
      </c>
      <c r="M13" s="39" t="str">
        <f>IF(Table8[[#This Row],[Vehicle_Type]]&lt;&gt;"Specialised", "Not Applicable", IF(Table8[[#This Row],[Hours_To_Book]]&gt;48, "Yes", "No"))</f>
        <v>No</v>
      </c>
      <c r="N13" s="41">
        <f>(Table8[[#This Row],[Garage_Out_Date]]-Table8[[#This Row],[Garage_In_Date]])</f>
        <v>4.0999999999985448</v>
      </c>
      <c r="O13" s="41" t="str">
        <f>IF(Table8[[#This Row],[Total_VOR_Days]] &gt;3.5, "Yes", "No")</f>
        <v>Yes</v>
      </c>
      <c r="P13" s="41" t="str">
        <f>IF(Table8[[#This Row],[Vehicle_Type]] &lt;&gt; "Specialised", "Not Applicable", IF(AND(Table8[[#This Row],[Hours_To_Book]] &lt;=48, Table8[[#This Row],[Total_VOR_Days]] &gt;3.5), "Ineffective", "Effective"))</f>
        <v>Ineffective</v>
      </c>
      <c r="Q13" s="53">
        <f>IF(OR(Table8[[#This Row],[Garage_In_Date]]="",Table8[[#This Row],[Actual_Repair_Start_Date]]=""),"N/A",(Table8[[#This Row],[Actual_Repair_Start_Date]]-Table8[[#This Row],[Garage_In_Date]])*24)</f>
        <v>0</v>
      </c>
      <c r="R13" s="53" t="str">
        <f>_xlfn.XLOOKUP(Table8[[#This Row],[Vehicle_ID]],Table5[Vehicle_ID],Table5[MOT_Linked],"Not Found")</f>
        <v>No</v>
      </c>
      <c r="S13" s="53"/>
      <c r="T13" s="3"/>
      <c r="U13" s="3"/>
      <c r="V13" s="3"/>
      <c r="W13" s="3"/>
      <c r="X13" s="5"/>
      <c r="Y13" s="7"/>
      <c r="Z13" s="7"/>
      <c r="AA13" s="9"/>
      <c r="AB13" s="9"/>
      <c r="AC13" s="9"/>
      <c r="AD13" s="6"/>
    </row>
    <row r="14" spans="1:30" ht="24.95" customHeight="1">
      <c r="A14" s="31" t="s">
        <v>47</v>
      </c>
      <c r="B14" s="32" t="s">
        <v>21</v>
      </c>
      <c r="C14" s="32" t="s">
        <v>42</v>
      </c>
      <c r="D14" s="23">
        <v>46093.46875</v>
      </c>
      <c r="E14" s="23">
        <v>46097.197916666657</v>
      </c>
      <c r="F14" s="23">
        <v>46097.197916666657</v>
      </c>
      <c r="G14" s="23">
        <v>46101.497916666667</v>
      </c>
      <c r="H14" s="23">
        <v>46097.364583333343</v>
      </c>
      <c r="I14" s="23">
        <v>46100</v>
      </c>
      <c r="J14" s="34" t="s">
        <v>28</v>
      </c>
      <c r="K14" s="36" t="s">
        <v>48</v>
      </c>
      <c r="L14" s="33">
        <f>(Table8[[#This Row],[Garage_Booked_DateTime]] - Table8[[#This Row],[Defect_Reported_DateTime]])*24</f>
        <v>89.499999999767169</v>
      </c>
      <c r="M14" s="33" t="str">
        <f>IF(Table8[[#This Row],[Vehicle_Type]]&lt;&gt;"Specialised", "Not Applicable", IF(Table8[[#This Row],[Hours_To_Book]]&gt;48, "Yes", "No"))</f>
        <v>Not Applicable</v>
      </c>
      <c r="N14" s="35">
        <f>(Table8[[#This Row],[Garage_Out_Date]]-Table8[[#This Row],[Garage_In_Date]])</f>
        <v>4.3000000000101863</v>
      </c>
      <c r="O14" s="35" t="str">
        <f>IF(Table8[[#This Row],[Total_VOR_Days]] &gt;3.5, "Yes", "No")</f>
        <v>Yes</v>
      </c>
      <c r="P14" s="35" t="str">
        <f>IF(Table8[[#This Row],[Vehicle_Type]] &lt;&gt; "Specialised", "Not Applicable", IF(AND(Table8[[#This Row],[Hours_To_Book]] &lt;=48, Table8[[#This Row],[Total_VOR_Days]] &gt;3.5), "Ineffective", "Effective"))</f>
        <v>Not Applicable</v>
      </c>
      <c r="Q14" s="53">
        <f>IF(OR(Table8[[#This Row],[Garage_In_Date]]="",Table8[[#This Row],[Actual_Repair_Start_Date]]=""),"N/A",(Table8[[#This Row],[Actual_Repair_Start_Date]]-Table8[[#This Row],[Garage_In_Date]])*24)</f>
        <v>4.0000000004656613</v>
      </c>
      <c r="R14" s="53">
        <f>_xlfn.XLOOKUP(Table8[[#This Row],[Vehicle_ID]],Table5[Vehicle_ID],Table5[MOT_Linked],"Not Found")</f>
        <v>0</v>
      </c>
      <c r="S14" s="53"/>
      <c r="T14" s="3"/>
      <c r="U14" s="3"/>
      <c r="V14" s="3"/>
      <c r="W14" s="3"/>
      <c r="X14" s="5"/>
      <c r="Y14" s="7"/>
      <c r="Z14" s="7"/>
      <c r="AA14" s="9"/>
      <c r="AB14" s="9"/>
      <c r="AC14" s="9"/>
      <c r="AD14" s="6"/>
    </row>
    <row r="15" spans="1:30" ht="24.95" customHeight="1">
      <c r="A15" s="37" t="s">
        <v>49</v>
      </c>
      <c r="B15" s="38" t="s">
        <v>14</v>
      </c>
      <c r="C15" s="38" t="s">
        <v>26</v>
      </c>
      <c r="D15" s="26">
        <v>46050.677083333343</v>
      </c>
      <c r="E15" s="26">
        <v>46051.76458333333</v>
      </c>
      <c r="F15" s="26">
        <v>46053.26458333333</v>
      </c>
      <c r="G15" s="26">
        <v>46053.76458333333</v>
      </c>
      <c r="H15" s="26">
        <v>46053.26458333333</v>
      </c>
      <c r="I15" s="26">
        <v>46053</v>
      </c>
      <c r="J15" s="40" t="s">
        <v>19</v>
      </c>
      <c r="K15" s="42" t="s">
        <v>38</v>
      </c>
      <c r="L15" s="39">
        <f>(Table8[[#This Row],[Garage_Booked_DateTime]] - Table8[[#This Row],[Defect_Reported_DateTime]])*24</f>
        <v>26.099999999685679</v>
      </c>
      <c r="M15" s="39" t="str">
        <f>IF(Table8[[#This Row],[Vehicle_Type]]&lt;&gt;"Specialised", "Not Applicable", IF(Table8[[#This Row],[Hours_To_Book]]&gt;48, "Yes", "No"))</f>
        <v>No</v>
      </c>
      <c r="N15" s="41">
        <f>(Table8[[#This Row],[Garage_Out_Date]]-Table8[[#This Row],[Garage_In_Date]])</f>
        <v>0.5</v>
      </c>
      <c r="O15" s="41" t="str">
        <f>IF(Table8[[#This Row],[Total_VOR_Days]] &gt;3.5, "Yes", "No")</f>
        <v>No</v>
      </c>
      <c r="P15" s="41" t="str">
        <f>IF(Table8[[#This Row],[Vehicle_Type]] &lt;&gt; "Specialised", "Not Applicable", IF(AND(Table8[[#This Row],[Hours_To_Book]] &lt;=48, Table8[[#This Row],[Total_VOR_Days]] &gt;3.5), "Ineffective", "Effective"))</f>
        <v>Effective</v>
      </c>
      <c r="Q15" s="53">
        <f>IF(OR(Table8[[#This Row],[Garage_In_Date]]="",Table8[[#This Row],[Actual_Repair_Start_Date]]=""),"N/A",(Table8[[#This Row],[Actual_Repair_Start_Date]]-Table8[[#This Row],[Garage_In_Date]])*24)</f>
        <v>0</v>
      </c>
      <c r="R15" s="53" t="str">
        <f>_xlfn.XLOOKUP(Table8[[#This Row],[Vehicle_ID]],Table5[Vehicle_ID],Table5[MOT_Linked],"Not Found")</f>
        <v>No</v>
      </c>
      <c r="S15" s="53"/>
      <c r="T15" s="3"/>
      <c r="U15" s="3"/>
      <c r="V15" s="3"/>
      <c r="W15" s="3"/>
      <c r="X15" s="5"/>
      <c r="Y15" s="7"/>
      <c r="Z15" s="7"/>
      <c r="AA15" s="9"/>
      <c r="AB15" s="9"/>
      <c r="AC15" s="9"/>
      <c r="AD15" s="6"/>
    </row>
    <row r="16" spans="1:30" ht="24.95" customHeight="1">
      <c r="A16" s="31" t="s">
        <v>50</v>
      </c>
      <c r="B16" s="32" t="s">
        <v>14</v>
      </c>
      <c r="C16" s="32" t="s">
        <v>30</v>
      </c>
      <c r="D16" s="23">
        <v>46077.614583333343</v>
      </c>
      <c r="E16" s="23">
        <v>46078.902083333327</v>
      </c>
      <c r="F16" s="23">
        <v>46080.902083333327</v>
      </c>
      <c r="G16" s="23">
        <v>46084.602083333331</v>
      </c>
      <c r="H16" s="23">
        <v>46080.902083333327</v>
      </c>
      <c r="I16" s="23">
        <v>46082</v>
      </c>
      <c r="J16" s="34" t="s">
        <v>36</v>
      </c>
      <c r="K16" s="36" t="s">
        <v>38</v>
      </c>
      <c r="L16" s="33">
        <f>(Table8[[#This Row],[Garage_Booked_DateTime]] - Table8[[#This Row],[Defect_Reported_DateTime]])*24</f>
        <v>30.899999999615829</v>
      </c>
      <c r="M16" s="33" t="str">
        <f>IF(Table8[[#This Row],[Vehicle_Type]]&lt;&gt;"Specialised", "Not Applicable", IF(Table8[[#This Row],[Hours_To_Book]]&gt;48, "Yes", "No"))</f>
        <v>No</v>
      </c>
      <c r="N16" s="35">
        <f>(Table8[[#This Row],[Garage_Out_Date]]-Table8[[#This Row],[Garage_In_Date]])</f>
        <v>3.7000000000043656</v>
      </c>
      <c r="O16" s="35" t="str">
        <f>IF(Table8[[#This Row],[Total_VOR_Days]] &gt;3.5, "Yes", "No")</f>
        <v>Yes</v>
      </c>
      <c r="P16" s="35" t="str">
        <f>IF(Table8[[#This Row],[Vehicle_Type]] &lt;&gt; "Specialised", "Not Applicable", IF(AND(Table8[[#This Row],[Hours_To_Book]] &lt;=48, Table8[[#This Row],[Total_VOR_Days]] &gt;3.5), "Ineffective", "Effective"))</f>
        <v>Ineffective</v>
      </c>
      <c r="Q16" s="53">
        <f>IF(OR(Table8[[#This Row],[Garage_In_Date]]="",Table8[[#This Row],[Actual_Repair_Start_Date]]=""),"N/A",(Table8[[#This Row],[Actual_Repair_Start_Date]]-Table8[[#This Row],[Garage_In_Date]])*24)</f>
        <v>0</v>
      </c>
      <c r="R16" s="53" t="str">
        <f>_xlfn.XLOOKUP(Table8[[#This Row],[Vehicle_ID]],Table5[Vehicle_ID],Table5[MOT_Linked],"Not Found")</f>
        <v>Yes</v>
      </c>
      <c r="S16" s="53"/>
      <c r="T16" s="3"/>
      <c r="U16" s="3"/>
      <c r="V16" s="3"/>
      <c r="W16" s="3"/>
      <c r="X16" s="5"/>
      <c r="Y16" s="7"/>
      <c r="Z16" s="7"/>
      <c r="AA16" s="9"/>
      <c r="AB16" s="9"/>
      <c r="AC16" s="9"/>
      <c r="AD16" s="6"/>
    </row>
    <row r="17" spans="1:30" ht="24.95" customHeight="1">
      <c r="A17" s="37" t="s">
        <v>51</v>
      </c>
      <c r="B17" s="38" t="s">
        <v>21</v>
      </c>
      <c r="C17" s="38" t="s">
        <v>30</v>
      </c>
      <c r="D17" s="26">
        <v>46047.489583333343</v>
      </c>
      <c r="E17" s="26">
        <v>46050.152083333327</v>
      </c>
      <c r="F17" s="26">
        <v>46051.152083333327</v>
      </c>
      <c r="G17" s="26">
        <v>46056.352083333331</v>
      </c>
      <c r="H17" s="26">
        <v>46051.318749999999</v>
      </c>
      <c r="I17" s="26">
        <v>46056</v>
      </c>
      <c r="J17" s="40" t="s">
        <v>28</v>
      </c>
      <c r="K17" s="42" t="s">
        <v>27</v>
      </c>
      <c r="L17" s="39">
        <f>(Table8[[#This Row],[Garage_Booked_DateTime]] - Table8[[#This Row],[Defect_Reported_DateTime]])*24</f>
        <v>63.899999999615829</v>
      </c>
      <c r="M17" s="39" t="str">
        <f>IF(Table8[[#This Row],[Vehicle_Type]]&lt;&gt;"Specialised", "Not Applicable", IF(Table8[[#This Row],[Hours_To_Book]]&gt;48, "Yes", "No"))</f>
        <v>Not Applicable</v>
      </c>
      <c r="N17" s="41">
        <f>(Table8[[#This Row],[Garage_Out_Date]]-Table8[[#This Row],[Garage_In_Date]])</f>
        <v>5.2000000000043656</v>
      </c>
      <c r="O17" s="41" t="str">
        <f>IF(Table8[[#This Row],[Total_VOR_Days]] &gt;3.5, "Yes", "No")</f>
        <v>Yes</v>
      </c>
      <c r="P17" s="41" t="str">
        <f>IF(Table8[[#This Row],[Vehicle_Type]] &lt;&gt; "Specialised", "Not Applicable", IF(AND(Table8[[#This Row],[Hours_To_Book]] &lt;=48, Table8[[#This Row],[Total_VOR_Days]] &gt;3.5), "Ineffective", "Effective"))</f>
        <v>Not Applicable</v>
      </c>
      <c r="Q17" s="53">
        <f>IF(OR(Table8[[#This Row],[Garage_In_Date]]="",Table8[[#This Row],[Actual_Repair_Start_Date]]=""),"N/A",(Table8[[#This Row],[Actual_Repair_Start_Date]]-Table8[[#This Row],[Garage_In_Date]])*24)</f>
        <v>4.0000000001164153</v>
      </c>
      <c r="R17" s="53" t="str">
        <f>_xlfn.XLOOKUP(Table8[[#This Row],[Vehicle_ID]],Table5[Vehicle_ID],Table5[MOT_Linked],"Not Found")</f>
        <v>No</v>
      </c>
      <c r="S17" s="53"/>
      <c r="T17" s="3"/>
      <c r="U17" s="3"/>
      <c r="V17" s="3"/>
      <c r="W17" s="3"/>
      <c r="X17" s="5"/>
      <c r="Y17" s="7"/>
      <c r="Z17" s="7"/>
      <c r="AA17" s="9"/>
      <c r="AB17" s="9"/>
      <c r="AC17" s="9"/>
      <c r="AD17" s="6"/>
    </row>
    <row r="18" spans="1:30" ht="24.95" customHeight="1">
      <c r="A18" s="31" t="s">
        <v>52</v>
      </c>
      <c r="B18" s="32" t="s">
        <v>21</v>
      </c>
      <c r="C18" s="32" t="s">
        <v>15</v>
      </c>
      <c r="D18" s="23">
        <v>46029.666666666657</v>
      </c>
      <c r="E18" s="23">
        <v>46034.012499999997</v>
      </c>
      <c r="F18" s="23">
        <v>46034.179166666669</v>
      </c>
      <c r="G18" s="23">
        <v>46037.479166666657</v>
      </c>
      <c r="H18" s="23">
        <v>46036.354166666657</v>
      </c>
      <c r="I18" s="23">
        <v>46035</v>
      </c>
      <c r="J18" s="34" t="s">
        <v>19</v>
      </c>
      <c r="K18" s="36" t="s">
        <v>31</v>
      </c>
      <c r="L18" s="33">
        <f>(Table8[[#This Row],[Garage_Booked_DateTime]] - Table8[[#This Row],[Defect_Reported_DateTime]])*24</f>
        <v>104.30000000016298</v>
      </c>
      <c r="M18" s="33" t="str">
        <f>IF(Table8[[#This Row],[Vehicle_Type]]&lt;&gt;"Specialised", "Not Applicable", IF(Table8[[#This Row],[Hours_To_Book]]&gt;48, "Yes", "No"))</f>
        <v>Not Applicable</v>
      </c>
      <c r="N18" s="35">
        <f>(Table8[[#This Row],[Garage_Out_Date]]-Table8[[#This Row],[Garage_In_Date]])</f>
        <v>3.2999999999883585</v>
      </c>
      <c r="O18" s="35" t="str">
        <f>IF(Table8[[#This Row],[Total_VOR_Days]] &gt;3.5, "Yes", "No")</f>
        <v>No</v>
      </c>
      <c r="P18" s="35" t="str">
        <f>IF(Table8[[#This Row],[Vehicle_Type]] &lt;&gt; "Specialised", "Not Applicable", IF(AND(Table8[[#This Row],[Hours_To_Book]] &lt;=48, Table8[[#This Row],[Total_VOR_Days]] &gt;3.5), "Ineffective", "Effective"))</f>
        <v>Not Applicable</v>
      </c>
      <c r="Q18" s="53">
        <f>IF(OR(Table8[[#This Row],[Garage_In_Date]]="",Table8[[#This Row],[Actual_Repair_Start_Date]]=""),"N/A",(Table8[[#This Row],[Actual_Repair_Start_Date]]-Table8[[#This Row],[Garage_In_Date]])*24)</f>
        <v>52.199999999720603</v>
      </c>
      <c r="R18" s="53" t="str">
        <f>_xlfn.XLOOKUP(Table8[[#This Row],[Vehicle_ID]],Table5[Vehicle_ID],Table5[MOT_Linked],"Not Found")</f>
        <v>No</v>
      </c>
      <c r="S18" s="53"/>
      <c r="T18" s="3"/>
      <c r="U18" s="3"/>
      <c r="V18" s="3"/>
      <c r="W18" s="3"/>
      <c r="X18" s="5"/>
      <c r="Y18" s="7"/>
      <c r="Z18" s="7"/>
      <c r="AA18" s="9"/>
      <c r="AB18" s="9"/>
      <c r="AC18" s="9"/>
      <c r="AD18" s="6"/>
    </row>
    <row r="19" spans="1:30" ht="24.95" customHeight="1">
      <c r="A19" s="37" t="s">
        <v>53</v>
      </c>
      <c r="B19" s="38" t="s">
        <v>14</v>
      </c>
      <c r="C19" s="38" t="s">
        <v>30</v>
      </c>
      <c r="D19" s="26">
        <v>46072.53125</v>
      </c>
      <c r="E19" s="26">
        <v>46073.618750000001</v>
      </c>
      <c r="F19" s="26">
        <v>46075.618750000001</v>
      </c>
      <c r="G19" s="26">
        <v>46082.818749999999</v>
      </c>
      <c r="H19" s="26"/>
      <c r="I19" s="26"/>
      <c r="J19" s="40" t="s">
        <v>184</v>
      </c>
      <c r="K19" s="42" t="s">
        <v>18</v>
      </c>
      <c r="L19" s="39">
        <f>(Table8[[#This Row],[Garage_Booked_DateTime]] - Table8[[#This Row],[Defect_Reported_DateTime]])*24</f>
        <v>26.100000000034925</v>
      </c>
      <c r="M19" s="39" t="str">
        <f>IF(Table8[[#This Row],[Vehicle_Type]]&lt;&gt;"Specialised", "Not Applicable", IF(Table8[[#This Row],[Hours_To_Book]]&gt;48, "Yes", "No"))</f>
        <v>No</v>
      </c>
      <c r="N19" s="41">
        <f>(Table8[[#This Row],[Garage_Out_Date]]-Table8[[#This Row],[Garage_In_Date]])</f>
        <v>7.1999999999970896</v>
      </c>
      <c r="O19" s="41" t="str">
        <f>IF(Table8[[#This Row],[Total_VOR_Days]] &gt;3.5, "Yes", "No")</f>
        <v>Yes</v>
      </c>
      <c r="P19" s="41" t="str">
        <f>IF(Table8[[#This Row],[Vehicle_Type]] &lt;&gt; "Specialised", "Not Applicable", IF(AND(Table8[[#This Row],[Hours_To_Book]] &lt;=48, Table8[[#This Row],[Total_VOR_Days]] &gt;3.5), "Ineffective", "Effective"))</f>
        <v>Ineffective</v>
      </c>
      <c r="Q19" s="53" t="str">
        <f>IF(OR(Table8[[#This Row],[Garage_In_Date]]="",Table8[[#This Row],[Actual_Repair_Start_Date]]=""),"N/A",(Table8[[#This Row],[Actual_Repair_Start_Date]]-Table8[[#This Row],[Garage_In_Date]])*24)</f>
        <v>N/A</v>
      </c>
      <c r="R19" s="53" t="str">
        <f>_xlfn.XLOOKUP(Table8[[#This Row],[Vehicle_ID]],Table5[Vehicle_ID],Table5[MOT_Linked],"Not Found")</f>
        <v>No</v>
      </c>
      <c r="S19" s="53"/>
      <c r="T19" s="3"/>
      <c r="U19" s="3"/>
      <c r="V19" s="3"/>
      <c r="W19" s="3"/>
      <c r="X19" s="5"/>
      <c r="Y19" s="7"/>
      <c r="Z19" s="7"/>
      <c r="AA19" s="9"/>
      <c r="AB19" s="9"/>
      <c r="AC19" s="9"/>
      <c r="AD19" s="6"/>
    </row>
    <row r="20" spans="1:30" ht="24.95" customHeight="1">
      <c r="A20" s="31" t="s">
        <v>55</v>
      </c>
      <c r="B20" s="32" t="s">
        <v>21</v>
      </c>
      <c r="C20" s="32" t="s">
        <v>30</v>
      </c>
      <c r="D20" s="23">
        <v>46030.708333333343</v>
      </c>
      <c r="E20" s="23">
        <v>46032.995833333327</v>
      </c>
      <c r="F20" s="23">
        <v>46034.495833333327</v>
      </c>
      <c r="G20" s="23">
        <v>46037.995833333327</v>
      </c>
      <c r="H20" s="23">
        <v>46036.4375</v>
      </c>
      <c r="I20" s="23">
        <v>46036</v>
      </c>
      <c r="J20" s="34" t="s">
        <v>19</v>
      </c>
      <c r="K20" s="36" t="s">
        <v>27</v>
      </c>
      <c r="L20" s="33">
        <f>(Table8[[#This Row],[Garage_Booked_DateTime]] - Table8[[#This Row],[Defect_Reported_DateTime]])*24</f>
        <v>54.899999999615829</v>
      </c>
      <c r="M20" s="33" t="str">
        <f>IF(Table8[[#This Row],[Vehicle_Type]]&lt;&gt;"Specialised", "Not Applicable", IF(Table8[[#This Row],[Hours_To_Book]]&gt;48, "Yes", "No"))</f>
        <v>Not Applicable</v>
      </c>
      <c r="N20" s="35">
        <f>(Table8[[#This Row],[Garage_Out_Date]]-Table8[[#This Row],[Garage_In_Date]])</f>
        <v>3.5</v>
      </c>
      <c r="O20" s="35" t="str">
        <f>IF(Table8[[#This Row],[Total_VOR_Days]] &gt;3.5, "Yes", "No")</f>
        <v>No</v>
      </c>
      <c r="P20" s="35" t="str">
        <f>IF(Table8[[#This Row],[Vehicle_Type]] &lt;&gt; "Specialised", "Not Applicable", IF(AND(Table8[[#This Row],[Hours_To_Book]] &lt;=48, Table8[[#This Row],[Total_VOR_Days]] &gt;3.5), "Ineffective", "Effective"))</f>
        <v>Not Applicable</v>
      </c>
      <c r="Q20" s="53">
        <f>IF(OR(Table8[[#This Row],[Garage_In_Date]]="",Table8[[#This Row],[Actual_Repair_Start_Date]]=""),"N/A",(Table8[[#This Row],[Actual_Repair_Start_Date]]-Table8[[#This Row],[Garage_In_Date]])*24)</f>
        <v>46.60000000015134</v>
      </c>
      <c r="R20" s="53" t="str">
        <f>_xlfn.XLOOKUP(Table8[[#This Row],[Vehicle_ID]],Table5[Vehicle_ID],Table5[MOT_Linked],"Not Found")</f>
        <v>No</v>
      </c>
      <c r="S20" s="53"/>
      <c r="T20" s="3"/>
      <c r="U20" s="3"/>
      <c r="V20" s="3"/>
      <c r="W20" s="3"/>
      <c r="X20" s="5"/>
      <c r="Y20" s="7"/>
      <c r="Z20" s="7"/>
      <c r="AA20" s="9"/>
      <c r="AB20" s="9"/>
      <c r="AC20" s="9"/>
      <c r="AD20" s="6"/>
    </row>
    <row r="21" spans="1:30" ht="24.95" customHeight="1">
      <c r="A21" s="37" t="s">
        <v>56</v>
      </c>
      <c r="B21" s="38" t="s">
        <v>14</v>
      </c>
      <c r="C21" s="38" t="s">
        <v>42</v>
      </c>
      <c r="D21" s="26">
        <v>46031.708333333343</v>
      </c>
      <c r="E21" s="26">
        <v>46032.800000000003</v>
      </c>
      <c r="F21" s="26">
        <v>46032.800000000003</v>
      </c>
      <c r="G21" s="26">
        <v>46035.7</v>
      </c>
      <c r="H21" s="26">
        <v>46033.166666666657</v>
      </c>
      <c r="I21" s="26">
        <v>46034</v>
      </c>
      <c r="J21" s="40" t="s">
        <v>19</v>
      </c>
      <c r="K21" s="42" t="s">
        <v>38</v>
      </c>
      <c r="L21" s="39">
        <f>(Table8[[#This Row],[Garage_Booked_DateTime]] - Table8[[#This Row],[Defect_Reported_DateTime]])*24</f>
        <v>26.199999999837019</v>
      </c>
      <c r="M21" s="39" t="str">
        <f>IF(Table8[[#This Row],[Vehicle_Type]]&lt;&gt;"Specialised", "Not Applicable", IF(Table8[[#This Row],[Hours_To_Book]]&gt;48, "Yes", "No"))</f>
        <v>No</v>
      </c>
      <c r="N21" s="41">
        <f>(Table8[[#This Row],[Garage_Out_Date]]-Table8[[#This Row],[Garage_In_Date]])</f>
        <v>2.8999999999941792</v>
      </c>
      <c r="O21" s="41" t="str">
        <f>IF(Table8[[#This Row],[Total_VOR_Days]] &gt;3.5, "Yes", "No")</f>
        <v>No</v>
      </c>
      <c r="P21" s="41" t="str">
        <f>IF(Table8[[#This Row],[Vehicle_Type]] &lt;&gt; "Specialised", "Not Applicable", IF(AND(Table8[[#This Row],[Hours_To_Book]] &lt;=48, Table8[[#This Row],[Total_VOR_Days]] &gt;3.5), "Ineffective", "Effective"))</f>
        <v>Effective</v>
      </c>
      <c r="Q21" s="53">
        <f>IF(OR(Table8[[#This Row],[Garage_In_Date]]="",Table8[[#This Row],[Actual_Repair_Start_Date]]=""),"N/A",(Table8[[#This Row],[Actual_Repair_Start_Date]]-Table8[[#This Row],[Garage_In_Date]])*24)</f>
        <v>8.7999999996973202</v>
      </c>
      <c r="R21" s="53" t="str">
        <f>_xlfn.XLOOKUP(Table8[[#This Row],[Vehicle_ID]],Table5[Vehicle_ID],Table5[MOT_Linked],"Not Found")</f>
        <v>No</v>
      </c>
      <c r="S21" s="53"/>
      <c r="T21" s="3"/>
      <c r="U21" s="3"/>
      <c r="V21" s="3"/>
      <c r="W21" s="3"/>
      <c r="X21" s="5"/>
      <c r="Y21" s="7"/>
      <c r="Z21" s="7"/>
      <c r="AA21" s="9"/>
      <c r="AB21" s="9"/>
      <c r="AC21" s="9"/>
      <c r="AD21" s="6"/>
    </row>
    <row r="22" spans="1:30" ht="24.95" customHeight="1">
      <c r="A22" s="31" t="s">
        <v>57</v>
      </c>
      <c r="B22" s="32" t="s">
        <v>14</v>
      </c>
      <c r="C22" s="32" t="s">
        <v>26</v>
      </c>
      <c r="D22" s="23">
        <v>46095.6875</v>
      </c>
      <c r="E22" s="23">
        <v>46097.116666666669</v>
      </c>
      <c r="F22" s="23">
        <v>46099.116666666669</v>
      </c>
      <c r="G22" s="23">
        <v>46102.816666666673</v>
      </c>
      <c r="H22" s="23">
        <v>46100.4375</v>
      </c>
      <c r="I22" s="23">
        <v>46101</v>
      </c>
      <c r="J22" s="34" t="s">
        <v>28</v>
      </c>
      <c r="K22" s="36" t="s">
        <v>44</v>
      </c>
      <c r="L22" s="33">
        <f>(Table8[[#This Row],[Garage_Booked_DateTime]] - Table8[[#This Row],[Defect_Reported_DateTime]])*24</f>
        <v>34.300000000046566</v>
      </c>
      <c r="M22" s="33" t="str">
        <f>IF(Table8[[#This Row],[Vehicle_Type]]&lt;&gt;"Specialised", "Not Applicable", IF(Table8[[#This Row],[Hours_To_Book]]&gt;48, "Yes", "No"))</f>
        <v>No</v>
      </c>
      <c r="N22" s="35">
        <f>(Table8[[#This Row],[Garage_Out_Date]]-Table8[[#This Row],[Garage_In_Date]])</f>
        <v>3.7000000000043656</v>
      </c>
      <c r="O22" s="35" t="str">
        <f>IF(Table8[[#This Row],[Total_VOR_Days]] &gt;3.5, "Yes", "No")</f>
        <v>Yes</v>
      </c>
      <c r="P22" s="35" t="str">
        <f>IF(Table8[[#This Row],[Vehicle_Type]] &lt;&gt; "Specialised", "Not Applicable", IF(AND(Table8[[#This Row],[Hours_To_Book]] &lt;=48, Table8[[#This Row],[Total_VOR_Days]] &gt;3.5), "Ineffective", "Effective"))</f>
        <v>Ineffective</v>
      </c>
      <c r="Q22" s="53">
        <f>IF(OR(Table8[[#This Row],[Garage_In_Date]]="",Table8[[#This Row],[Actual_Repair_Start_Date]]=""),"N/A",(Table8[[#This Row],[Actual_Repair_Start_Date]]-Table8[[#This Row],[Garage_In_Date]])*24)</f>
        <v>31.699999999953434</v>
      </c>
      <c r="R22" s="53" t="str">
        <f>_xlfn.XLOOKUP(Table8[[#This Row],[Vehicle_ID]],Table5[Vehicle_ID],Table5[MOT_Linked],"Not Found")</f>
        <v>No</v>
      </c>
      <c r="S22" s="53"/>
      <c r="T22" s="3"/>
      <c r="U22" s="3"/>
      <c r="V22" s="3"/>
      <c r="W22" s="3"/>
      <c r="X22" s="5"/>
      <c r="Y22" s="7"/>
      <c r="Z22" s="7"/>
      <c r="AA22" s="9"/>
      <c r="AB22" s="9"/>
      <c r="AC22" s="9"/>
      <c r="AD22" s="6"/>
    </row>
    <row r="23" spans="1:30" ht="24.95" customHeight="1">
      <c r="A23" s="37" t="s">
        <v>58</v>
      </c>
      <c r="B23" s="38" t="s">
        <v>21</v>
      </c>
      <c r="C23" s="38" t="s">
        <v>26</v>
      </c>
      <c r="D23" s="26">
        <v>46141.375</v>
      </c>
      <c r="E23" s="26">
        <v>46141.708333333343</v>
      </c>
      <c r="F23" s="26">
        <v>46141.708333333343</v>
      </c>
      <c r="G23" s="26">
        <v>46151.808333333327</v>
      </c>
      <c r="H23" s="26">
        <v>46142.375</v>
      </c>
      <c r="I23" s="26">
        <v>46151</v>
      </c>
      <c r="J23" s="40" t="s">
        <v>180</v>
      </c>
      <c r="K23" s="42" t="s">
        <v>48</v>
      </c>
      <c r="L23" s="39">
        <f>(Table8[[#This Row],[Garage_Booked_DateTime]] - Table8[[#This Row],[Defect_Reported_DateTime]])*24</f>
        <v>8.0000000002328306</v>
      </c>
      <c r="M23" s="39" t="str">
        <f>IF(Table8[[#This Row],[Vehicle_Type]]&lt;&gt;"Specialised", "Not Applicable", IF(Table8[[#This Row],[Hours_To_Book]]&gt;48, "Yes", "No"))</f>
        <v>Not Applicable</v>
      </c>
      <c r="N23" s="41">
        <f>(Table8[[#This Row],[Garage_Out_Date]]-Table8[[#This Row],[Garage_In_Date]])</f>
        <v>10.099999999983993</v>
      </c>
      <c r="O23" s="41" t="str">
        <f>IF(Table8[[#This Row],[Total_VOR_Days]] &gt;3.5, "Yes", "No")</f>
        <v>Yes</v>
      </c>
      <c r="P23" s="41" t="str">
        <f>IF(Table8[[#This Row],[Vehicle_Type]] &lt;&gt; "Specialised", "Not Applicable", IF(AND(Table8[[#This Row],[Hours_To_Book]] &lt;=48, Table8[[#This Row],[Total_VOR_Days]] &gt;3.5), "Ineffective", "Effective"))</f>
        <v>Not Applicable</v>
      </c>
      <c r="Q23" s="53">
        <f>IF(OR(Table8[[#This Row],[Garage_In_Date]]="",Table8[[#This Row],[Actual_Repair_Start_Date]]=""),"N/A",(Table8[[#This Row],[Actual_Repair_Start_Date]]-Table8[[#This Row],[Garage_In_Date]])*24)</f>
        <v>15.999999999767169</v>
      </c>
      <c r="R23" s="53" t="str">
        <f>_xlfn.XLOOKUP(Table8[[#This Row],[Vehicle_ID]],Table5[Vehicle_ID],Table5[MOT_Linked],"Not Found")</f>
        <v>No</v>
      </c>
      <c r="S23" s="53"/>
      <c r="T23" s="3"/>
      <c r="U23" s="3"/>
      <c r="V23" s="3"/>
      <c r="W23" s="3"/>
      <c r="X23" s="5"/>
      <c r="Y23" s="7"/>
      <c r="Z23" s="7"/>
      <c r="AA23" s="9"/>
      <c r="AB23" s="9"/>
      <c r="AC23" s="9"/>
      <c r="AD23" s="6"/>
    </row>
    <row r="24" spans="1:30" ht="24.95" customHeight="1">
      <c r="A24" s="31" t="s">
        <v>59</v>
      </c>
      <c r="B24" s="32" t="s">
        <v>21</v>
      </c>
      <c r="C24" s="32" t="s">
        <v>26</v>
      </c>
      <c r="D24" s="23">
        <v>46059.447916666657</v>
      </c>
      <c r="E24" s="23">
        <v>46062.456250000003</v>
      </c>
      <c r="F24" s="23">
        <v>46063.956250000003</v>
      </c>
      <c r="G24" s="23">
        <v>46065.456250000003</v>
      </c>
      <c r="H24" s="23">
        <v>46064.354166666657</v>
      </c>
      <c r="I24" s="23">
        <v>46064</v>
      </c>
      <c r="J24" s="34" t="s">
        <v>19</v>
      </c>
      <c r="K24" s="36" t="s">
        <v>27</v>
      </c>
      <c r="L24" s="33">
        <f>(Table8[[#This Row],[Garage_Booked_DateTime]] - Table8[[#This Row],[Defect_Reported_DateTime]])*24</f>
        <v>72.20000000030268</v>
      </c>
      <c r="M24" s="33" t="str">
        <f>IF(Table8[[#This Row],[Vehicle_Type]]&lt;&gt;"Specialised", "Not Applicable", IF(Table8[[#This Row],[Hours_To_Book]]&gt;48, "Yes", "No"))</f>
        <v>Not Applicable</v>
      </c>
      <c r="N24" s="35">
        <f>(Table8[[#This Row],[Garage_Out_Date]]-Table8[[#This Row],[Garage_In_Date]])</f>
        <v>1.5</v>
      </c>
      <c r="O24" s="35" t="str">
        <f>IF(Table8[[#This Row],[Total_VOR_Days]] &gt;3.5, "Yes", "No")</f>
        <v>No</v>
      </c>
      <c r="P24" s="35" t="str">
        <f>IF(Table8[[#This Row],[Vehicle_Type]] &lt;&gt; "Specialised", "Not Applicable", IF(AND(Table8[[#This Row],[Hours_To_Book]] &lt;=48, Table8[[#This Row],[Total_VOR_Days]] &gt;3.5), "Ineffective", "Effective"))</f>
        <v>Not Applicable</v>
      </c>
      <c r="Q24" s="53">
        <f>IF(OR(Table8[[#This Row],[Garage_In_Date]]="",Table8[[#This Row],[Actual_Repair_Start_Date]]=""),"N/A",(Table8[[#This Row],[Actual_Repair_Start_Date]]-Table8[[#This Row],[Garage_In_Date]])*24)</f>
        <v>9.5499999996973202</v>
      </c>
      <c r="R24" s="53" t="str">
        <f>_xlfn.XLOOKUP(Table8[[#This Row],[Vehicle_ID]],Table5[Vehicle_ID],Table5[MOT_Linked],"Not Found")</f>
        <v>No</v>
      </c>
      <c r="S24" s="53"/>
      <c r="T24" s="3"/>
      <c r="U24" s="3"/>
      <c r="V24" s="3"/>
      <c r="W24" s="3"/>
      <c r="X24" s="5"/>
      <c r="Y24" s="7"/>
      <c r="Z24" s="7"/>
      <c r="AA24" s="9"/>
      <c r="AB24" s="9"/>
      <c r="AC24" s="9"/>
      <c r="AD24" s="6"/>
    </row>
    <row r="25" spans="1:30" ht="24.95" customHeight="1">
      <c r="A25" s="37" t="s">
        <v>60</v>
      </c>
      <c r="B25" s="38" t="s">
        <v>21</v>
      </c>
      <c r="C25" s="38" t="s">
        <v>26</v>
      </c>
      <c r="D25" s="26">
        <v>46142.385416666657</v>
      </c>
      <c r="E25" s="26">
        <v>46144.502083333333</v>
      </c>
      <c r="F25" s="26">
        <v>46146.502083333333</v>
      </c>
      <c r="G25" s="26">
        <v>46154.902083333327</v>
      </c>
      <c r="H25" s="26">
        <v>46146.502083333333</v>
      </c>
      <c r="I25" s="26">
        <v>46153</v>
      </c>
      <c r="J25" s="40" t="s">
        <v>184</v>
      </c>
      <c r="K25" s="42" t="s">
        <v>48</v>
      </c>
      <c r="L25" s="39">
        <f>(Table8[[#This Row],[Garage_Booked_DateTime]] - Table8[[#This Row],[Defect_Reported_DateTime]])*24</f>
        <v>50.800000000221189</v>
      </c>
      <c r="M25" s="39" t="str">
        <f>IF(Table8[[#This Row],[Vehicle_Type]]&lt;&gt;"Specialised", "Not Applicable", IF(Table8[[#This Row],[Hours_To_Book]]&gt;48, "Yes", "No"))</f>
        <v>Not Applicable</v>
      </c>
      <c r="N25" s="41">
        <f>(Table8[[#This Row],[Garage_Out_Date]]-Table8[[#This Row],[Garage_In_Date]])</f>
        <v>8.3999999999941792</v>
      </c>
      <c r="O25" s="41" t="str">
        <f>IF(Table8[[#This Row],[Total_VOR_Days]] &gt;3.5, "Yes", "No")</f>
        <v>Yes</v>
      </c>
      <c r="P25" s="41" t="str">
        <f>IF(Table8[[#This Row],[Vehicle_Type]] &lt;&gt; "Specialised", "Not Applicable", IF(AND(Table8[[#This Row],[Hours_To_Book]] &lt;=48, Table8[[#This Row],[Total_VOR_Days]] &gt;3.5), "Ineffective", "Effective"))</f>
        <v>Not Applicable</v>
      </c>
      <c r="Q25" s="53">
        <f>IF(OR(Table8[[#This Row],[Garage_In_Date]]="",Table8[[#This Row],[Actual_Repair_Start_Date]]=""),"N/A",(Table8[[#This Row],[Actual_Repair_Start_Date]]-Table8[[#This Row],[Garage_In_Date]])*24)</f>
        <v>0</v>
      </c>
      <c r="R25" s="53" t="str">
        <f>_xlfn.XLOOKUP(Table8[[#This Row],[Vehicle_ID]],Table5[Vehicle_ID],Table5[MOT_Linked],"Not Found")</f>
        <v>No</v>
      </c>
      <c r="S25" s="53"/>
      <c r="T25" s="3"/>
      <c r="U25" s="3"/>
      <c r="V25" s="3"/>
      <c r="W25" s="3"/>
      <c r="X25" s="5"/>
      <c r="Y25" s="7"/>
      <c r="Z25" s="7"/>
      <c r="AA25" s="9"/>
      <c r="AB25" s="9"/>
      <c r="AC25" s="9"/>
      <c r="AD25" s="6"/>
    </row>
    <row r="26" spans="1:30" ht="24.95" customHeight="1">
      <c r="A26" s="31" t="s">
        <v>61</v>
      </c>
      <c r="B26" s="32" t="s">
        <v>21</v>
      </c>
      <c r="C26" s="32" t="s">
        <v>22</v>
      </c>
      <c r="D26" s="23">
        <v>46104.53125</v>
      </c>
      <c r="E26" s="23">
        <v>46106.810416666667</v>
      </c>
      <c r="F26" s="23">
        <v>46106.810416666667</v>
      </c>
      <c r="G26" s="23">
        <v>46115.410416666673</v>
      </c>
      <c r="H26" s="23">
        <v>46106.977083333331</v>
      </c>
      <c r="I26" s="23">
        <v>46114</v>
      </c>
      <c r="J26" s="34" t="s">
        <v>36</v>
      </c>
      <c r="K26" s="36" t="s">
        <v>35</v>
      </c>
      <c r="L26" s="33">
        <f>(Table8[[#This Row],[Garage_Booked_DateTime]] - Table8[[#This Row],[Defect_Reported_DateTime]])*24</f>
        <v>54.700000000011642</v>
      </c>
      <c r="M26" s="33" t="str">
        <f>IF(Table8[[#This Row],[Vehicle_Type]]&lt;&gt;"Specialised", "Not Applicable", IF(Table8[[#This Row],[Hours_To_Book]]&gt;48, "Yes", "No"))</f>
        <v>Not Applicable</v>
      </c>
      <c r="N26" s="35">
        <f>(Table8[[#This Row],[Garage_Out_Date]]-Table8[[#This Row],[Garage_In_Date]])</f>
        <v>8.6000000000058208</v>
      </c>
      <c r="O26" s="35" t="str">
        <f>IF(Table8[[#This Row],[Total_VOR_Days]] &gt;3.5, "Yes", "No")</f>
        <v>Yes</v>
      </c>
      <c r="P26" s="35" t="str">
        <f>IF(Table8[[#This Row],[Vehicle_Type]] &lt;&gt; "Specialised", "Not Applicable", IF(AND(Table8[[#This Row],[Hours_To_Book]] &lt;=48, Table8[[#This Row],[Total_VOR_Days]] &gt;3.5), "Ineffective", "Effective"))</f>
        <v>Not Applicable</v>
      </c>
      <c r="Q26" s="53">
        <f>IF(OR(Table8[[#This Row],[Garage_In_Date]]="",Table8[[#This Row],[Actual_Repair_Start_Date]]=""),"N/A",(Table8[[#This Row],[Actual_Repair_Start_Date]]-Table8[[#This Row],[Garage_In_Date]])*24)</f>
        <v>3.9999999999417923</v>
      </c>
      <c r="R26" s="53" t="str">
        <f>_xlfn.XLOOKUP(Table8[[#This Row],[Vehicle_ID]],Table5[Vehicle_ID],Table5[MOT_Linked],"Not Found")</f>
        <v>No</v>
      </c>
      <c r="S26" s="53"/>
      <c r="T26" s="3"/>
      <c r="U26" s="3"/>
      <c r="V26" s="3"/>
      <c r="W26" s="3"/>
      <c r="X26" s="5"/>
      <c r="Y26" s="7"/>
      <c r="Z26" s="7"/>
      <c r="AA26" s="9"/>
      <c r="AB26" s="9"/>
      <c r="AC26" s="9"/>
      <c r="AD26" s="6"/>
    </row>
    <row r="27" spans="1:30" ht="24.95" customHeight="1">
      <c r="A27" s="37" t="s">
        <v>62</v>
      </c>
      <c r="B27" s="38" t="s">
        <v>14</v>
      </c>
      <c r="C27" s="38" t="s">
        <v>22</v>
      </c>
      <c r="D27" s="26">
        <v>46043.65625</v>
      </c>
      <c r="E27" s="26">
        <v>46044.706250000003</v>
      </c>
      <c r="F27" s="26">
        <v>46046.706250000003</v>
      </c>
      <c r="G27" s="26">
        <v>46050.506249999999</v>
      </c>
      <c r="H27" s="26">
        <v>46046.706250000003</v>
      </c>
      <c r="I27" s="26">
        <v>46048</v>
      </c>
      <c r="J27" s="40" t="s">
        <v>28</v>
      </c>
      <c r="K27" s="42" t="s">
        <v>35</v>
      </c>
      <c r="L27" s="39">
        <f>(Table8[[#This Row],[Garage_Booked_DateTime]] - Table8[[#This Row],[Defect_Reported_DateTime]])*24</f>
        <v>25.200000000069849</v>
      </c>
      <c r="M27" s="39" t="str">
        <f>IF(Table8[[#This Row],[Vehicle_Type]]&lt;&gt;"Specialised", "Not Applicable", IF(Table8[[#This Row],[Hours_To_Book]]&gt;48, "Yes", "No"))</f>
        <v>No</v>
      </c>
      <c r="N27" s="41">
        <f>(Table8[[#This Row],[Garage_Out_Date]]-Table8[[#This Row],[Garage_In_Date]])</f>
        <v>3.7999999999956344</v>
      </c>
      <c r="O27" s="41" t="str">
        <f>IF(Table8[[#This Row],[Total_VOR_Days]] &gt;3.5, "Yes", "No")</f>
        <v>Yes</v>
      </c>
      <c r="P27" s="41" t="str">
        <f>IF(Table8[[#This Row],[Vehicle_Type]] &lt;&gt; "Specialised", "Not Applicable", IF(AND(Table8[[#This Row],[Hours_To_Book]] &lt;=48, Table8[[#This Row],[Total_VOR_Days]] &gt;3.5), "Ineffective", "Effective"))</f>
        <v>Ineffective</v>
      </c>
      <c r="Q27" s="53">
        <f>IF(OR(Table8[[#This Row],[Garage_In_Date]]="",Table8[[#This Row],[Actual_Repair_Start_Date]]=""),"N/A",(Table8[[#This Row],[Actual_Repair_Start_Date]]-Table8[[#This Row],[Garage_In_Date]])*24)</f>
        <v>0</v>
      </c>
      <c r="R27" s="53" t="str">
        <f>_xlfn.XLOOKUP(Table8[[#This Row],[Vehicle_ID]],Table5[Vehicle_ID],Table5[MOT_Linked],"Not Found")</f>
        <v>No</v>
      </c>
      <c r="S27" s="53"/>
      <c r="T27" s="3"/>
      <c r="U27" s="3"/>
      <c r="V27" s="3"/>
      <c r="W27" s="3"/>
      <c r="X27" s="5"/>
      <c r="Y27" s="7"/>
      <c r="Z27" s="7"/>
      <c r="AA27" s="9"/>
      <c r="AB27" s="9"/>
      <c r="AC27" s="9"/>
      <c r="AD27" s="6"/>
    </row>
    <row r="28" spans="1:30" ht="24.95" customHeight="1">
      <c r="A28" s="31" t="s">
        <v>63</v>
      </c>
      <c r="B28" s="32" t="s">
        <v>21</v>
      </c>
      <c r="C28" s="32" t="s">
        <v>222</v>
      </c>
      <c r="D28" s="23">
        <v>46039.354166666657</v>
      </c>
      <c r="E28" s="23">
        <v>46040.237500000003</v>
      </c>
      <c r="F28" s="23">
        <v>46040.237500000003</v>
      </c>
      <c r="G28" s="23">
        <v>46047.9375</v>
      </c>
      <c r="H28" s="23">
        <v>46041.375</v>
      </c>
      <c r="I28" s="23">
        <v>46048</v>
      </c>
      <c r="J28" s="34" t="s">
        <v>36</v>
      </c>
      <c r="K28" s="36" t="s">
        <v>27</v>
      </c>
      <c r="L28" s="33">
        <f>(Table8[[#This Row],[Garage_Booked_DateTime]] - Table8[[#This Row],[Defect_Reported_DateTime]])*24</f>
        <v>21.20000000030268</v>
      </c>
      <c r="M28" s="33" t="str">
        <f>IF(Table8[[#This Row],[Vehicle_Type]]&lt;&gt;"Specialised", "Not Applicable", IF(Table8[[#This Row],[Hours_To_Book]]&gt;48, "Yes", "No"))</f>
        <v>Not Applicable</v>
      </c>
      <c r="N28" s="35">
        <f>(Table8[[#This Row],[Garage_Out_Date]]-Table8[[#This Row],[Garage_In_Date]])</f>
        <v>7.6999999999970896</v>
      </c>
      <c r="O28" s="35" t="str">
        <f>IF(Table8[[#This Row],[Total_VOR_Days]] &gt;3.5, "Yes", "No")</f>
        <v>Yes</v>
      </c>
      <c r="P28" s="35" t="str">
        <f>IF(Table8[[#This Row],[Vehicle_Type]] &lt;&gt; "Specialised", "Not Applicable", IF(AND(Table8[[#This Row],[Hours_To_Book]] &lt;=48, Table8[[#This Row],[Total_VOR_Days]] &gt;3.5), "Ineffective", "Effective"))</f>
        <v>Not Applicable</v>
      </c>
      <c r="Q28" s="53">
        <f>IF(OR(Table8[[#This Row],[Garage_In_Date]]="",Table8[[#This Row],[Actual_Repair_Start_Date]]=""),"N/A",(Table8[[#This Row],[Actual_Repair_Start_Date]]-Table8[[#This Row],[Garage_In_Date]])*24)</f>
        <v>27.299999999930151</v>
      </c>
      <c r="R28" s="53" t="str">
        <f>_xlfn.XLOOKUP(Table8[[#This Row],[Vehicle_ID]],Table5[Vehicle_ID],Table5[MOT_Linked],"Not Found")</f>
        <v>No</v>
      </c>
      <c r="S28" s="53"/>
      <c r="T28" s="3"/>
      <c r="U28" s="3"/>
      <c r="V28" s="3"/>
      <c r="W28" s="3"/>
      <c r="X28" s="5"/>
      <c r="Y28" s="7"/>
      <c r="Z28" s="7"/>
      <c r="AA28" s="9"/>
      <c r="AB28" s="9"/>
      <c r="AC28" s="9"/>
      <c r="AD28" s="6"/>
    </row>
    <row r="29" spans="1:30" ht="24.95" customHeight="1">
      <c r="A29" s="37" t="s">
        <v>65</v>
      </c>
      <c r="B29" s="38" t="s">
        <v>14</v>
      </c>
      <c r="C29" s="38" t="s">
        <v>22</v>
      </c>
      <c r="D29" s="26">
        <v>46118.427083333343</v>
      </c>
      <c r="E29" s="26">
        <v>46120.272916666669</v>
      </c>
      <c r="F29" s="26">
        <v>46120.439583333333</v>
      </c>
      <c r="G29" s="26">
        <v>46120.939583333333</v>
      </c>
      <c r="H29" s="26">
        <v>46120.439583333333</v>
      </c>
      <c r="I29" s="26">
        <v>46121</v>
      </c>
      <c r="J29" s="40" t="s">
        <v>19</v>
      </c>
      <c r="K29" s="42" t="s">
        <v>23</v>
      </c>
      <c r="L29" s="39">
        <f>(Table8[[#This Row],[Garage_Booked_DateTime]] - Table8[[#This Row],[Defect_Reported_DateTime]])*24</f>
        <v>44.299999999813735</v>
      </c>
      <c r="M29" s="39" t="str">
        <f>IF(Table8[[#This Row],[Vehicle_Type]]&lt;&gt;"Specialised", "Not Applicable", IF(Table8[[#This Row],[Hours_To_Book]]&gt;48, "Yes", "No"))</f>
        <v>No</v>
      </c>
      <c r="N29" s="41">
        <f>(Table8[[#This Row],[Garage_Out_Date]]-Table8[[#This Row],[Garage_In_Date]])</f>
        <v>0.5</v>
      </c>
      <c r="O29" s="41" t="str">
        <f>IF(Table8[[#This Row],[Total_VOR_Days]] &gt;3.5, "Yes", "No")</f>
        <v>No</v>
      </c>
      <c r="P29" s="41" t="str">
        <f>IF(Table8[[#This Row],[Vehicle_Type]] &lt;&gt; "Specialised", "Not Applicable", IF(AND(Table8[[#This Row],[Hours_To_Book]] &lt;=48, Table8[[#This Row],[Total_VOR_Days]] &gt;3.5), "Ineffective", "Effective"))</f>
        <v>Effective</v>
      </c>
      <c r="Q29" s="53">
        <f>IF(OR(Table8[[#This Row],[Garage_In_Date]]="",Table8[[#This Row],[Actual_Repair_Start_Date]]=""),"N/A",(Table8[[#This Row],[Actual_Repair_Start_Date]]-Table8[[#This Row],[Garage_In_Date]])*24)</f>
        <v>0</v>
      </c>
      <c r="R29" s="53">
        <f>_xlfn.XLOOKUP(Table8[[#This Row],[Vehicle_ID]],Table5[Vehicle_ID],Table5[MOT_Linked],"Not Found")</f>
        <v>0</v>
      </c>
      <c r="S29" s="53"/>
      <c r="T29" s="3"/>
      <c r="U29" s="3"/>
      <c r="V29" s="3"/>
      <c r="W29" s="3"/>
      <c r="X29" s="5"/>
      <c r="Y29" s="7"/>
      <c r="Z29" s="7"/>
      <c r="AA29" s="9"/>
      <c r="AB29" s="9"/>
      <c r="AC29" s="9"/>
      <c r="AD29" s="6"/>
    </row>
    <row r="30" spans="1:30" ht="24.95" customHeight="1">
      <c r="A30" s="31" t="s">
        <v>66</v>
      </c>
      <c r="B30" s="32" t="s">
        <v>14</v>
      </c>
      <c r="C30" s="32" t="s">
        <v>42</v>
      </c>
      <c r="D30" s="23">
        <v>46126.479166666657</v>
      </c>
      <c r="E30" s="23">
        <v>46127.98333333333</v>
      </c>
      <c r="F30" s="23">
        <v>46128.98333333333</v>
      </c>
      <c r="G30" s="23">
        <v>46135.783333333333</v>
      </c>
      <c r="H30" s="23">
        <v>46128.98333333333</v>
      </c>
      <c r="I30" s="23">
        <v>46133</v>
      </c>
      <c r="J30" s="34" t="s">
        <v>180</v>
      </c>
      <c r="K30" s="36" t="s">
        <v>44</v>
      </c>
      <c r="L30" s="33">
        <f>(Table8[[#This Row],[Garage_Booked_DateTime]] - Table8[[#This Row],[Defect_Reported_DateTime]])*24</f>
        <v>36.10000000015134</v>
      </c>
      <c r="M30" s="33" t="str">
        <f>IF(Table8[[#This Row],[Vehicle_Type]]&lt;&gt;"Specialised", "Not Applicable", IF(Table8[[#This Row],[Hours_To_Book]]&gt;48, "Yes", "No"))</f>
        <v>No</v>
      </c>
      <c r="N30" s="35">
        <f>(Table8[[#This Row],[Garage_Out_Date]]-Table8[[#This Row],[Garage_In_Date]])</f>
        <v>6.8000000000029104</v>
      </c>
      <c r="O30" s="35" t="str">
        <f>IF(Table8[[#This Row],[Total_VOR_Days]] &gt;3.5, "Yes", "No")</f>
        <v>Yes</v>
      </c>
      <c r="P30" s="35" t="str">
        <f>IF(Table8[[#This Row],[Vehicle_Type]] &lt;&gt; "Specialised", "Not Applicable", IF(AND(Table8[[#This Row],[Hours_To_Book]] &lt;=48, Table8[[#This Row],[Total_VOR_Days]] &gt;3.5), "Ineffective", "Effective"))</f>
        <v>Ineffective</v>
      </c>
      <c r="Q30" s="53">
        <f>IF(OR(Table8[[#This Row],[Garage_In_Date]]="",Table8[[#This Row],[Actual_Repair_Start_Date]]=""),"N/A",(Table8[[#This Row],[Actual_Repair_Start_Date]]-Table8[[#This Row],[Garage_In_Date]])*24)</f>
        <v>0</v>
      </c>
      <c r="R30" s="53" t="str">
        <f>_xlfn.XLOOKUP(Table8[[#This Row],[Vehicle_ID]],Table5[Vehicle_ID],Table5[MOT_Linked],"Not Found")</f>
        <v>No</v>
      </c>
      <c r="S30" s="53"/>
      <c r="T30" s="3"/>
      <c r="U30" s="3"/>
      <c r="V30" s="3"/>
      <c r="W30" s="3"/>
      <c r="X30" s="5"/>
      <c r="Y30" s="7"/>
      <c r="Z30" s="7"/>
      <c r="AA30" s="9"/>
      <c r="AB30" s="9"/>
      <c r="AC30" s="9"/>
      <c r="AD30" s="6"/>
    </row>
    <row r="31" spans="1:30" ht="24.95" customHeight="1">
      <c r="A31" s="37" t="s">
        <v>67</v>
      </c>
      <c r="B31" s="38" t="s">
        <v>14</v>
      </c>
      <c r="C31" s="38" t="s">
        <v>30</v>
      </c>
      <c r="D31" s="26">
        <v>46124.46875</v>
      </c>
      <c r="E31" s="26">
        <v>46125.90625</v>
      </c>
      <c r="F31" s="26">
        <v>46126.239583333343</v>
      </c>
      <c r="G31" s="26">
        <v>46130.63958333333</v>
      </c>
      <c r="H31" s="26">
        <v>46126.479166666657</v>
      </c>
      <c r="I31" s="26">
        <v>46128</v>
      </c>
      <c r="J31" s="40" t="s">
        <v>36</v>
      </c>
      <c r="K31" s="42" t="s">
        <v>27</v>
      </c>
      <c r="L31" s="39">
        <f>(Table8[[#This Row],[Garage_Booked_DateTime]] - Table8[[#This Row],[Defect_Reported_DateTime]])*24</f>
        <v>34.5</v>
      </c>
      <c r="M31" s="39" t="str">
        <f>IF(Table8[[#This Row],[Vehicle_Type]]&lt;&gt;"Specialised", "Not Applicable", IF(Table8[[#This Row],[Hours_To_Book]]&gt;48, "Yes", "No"))</f>
        <v>No</v>
      </c>
      <c r="N31" s="41">
        <f>(Table8[[#This Row],[Garage_Out_Date]]-Table8[[#This Row],[Garage_In_Date]])</f>
        <v>4.3999999999869033</v>
      </c>
      <c r="O31" s="41" t="str">
        <f>IF(Table8[[#This Row],[Total_VOR_Days]] &gt;3.5, "Yes", "No")</f>
        <v>Yes</v>
      </c>
      <c r="P31" s="41" t="str">
        <f>IF(Table8[[#This Row],[Vehicle_Type]] &lt;&gt; "Specialised", "Not Applicable", IF(AND(Table8[[#This Row],[Hours_To_Book]] &lt;=48, Table8[[#This Row],[Total_VOR_Days]] &gt;3.5), "Ineffective", "Effective"))</f>
        <v>Ineffective</v>
      </c>
      <c r="Q31" s="53">
        <f>IF(OR(Table8[[#This Row],[Garage_In_Date]]="",Table8[[#This Row],[Actual_Repair_Start_Date]]=""),"N/A",(Table8[[#This Row],[Actual_Repair_Start_Date]]-Table8[[#This Row],[Garage_In_Date]])*24)</f>
        <v>5.7499999995343387</v>
      </c>
      <c r="R31" s="53" t="str">
        <f>_xlfn.XLOOKUP(Table8[[#This Row],[Vehicle_ID]],Table5[Vehicle_ID],Table5[MOT_Linked],"Not Found")</f>
        <v>Yes</v>
      </c>
      <c r="S31" s="53"/>
      <c r="T31" s="3"/>
      <c r="U31" s="3"/>
      <c r="V31" s="3"/>
      <c r="W31" s="3"/>
      <c r="X31" s="5"/>
      <c r="Y31" s="7"/>
      <c r="Z31" s="7"/>
      <c r="AA31" s="9"/>
      <c r="AB31" s="9"/>
      <c r="AC31" s="9"/>
      <c r="AD31" s="6"/>
    </row>
    <row r="32" spans="1:30" ht="24.95" customHeight="1">
      <c r="A32" s="31" t="s">
        <v>68</v>
      </c>
      <c r="B32" s="32" t="s">
        <v>21</v>
      </c>
      <c r="C32" s="32" t="s">
        <v>222</v>
      </c>
      <c r="D32" s="23">
        <v>46109.6875</v>
      </c>
      <c r="E32" s="23">
        <v>46112.4</v>
      </c>
      <c r="F32" s="23">
        <v>46112.73333333333</v>
      </c>
      <c r="G32" s="23">
        <v>46116.533333333333</v>
      </c>
      <c r="H32" s="23">
        <v>46112.9</v>
      </c>
      <c r="I32" s="23">
        <v>46116</v>
      </c>
      <c r="J32" s="34" t="s">
        <v>33</v>
      </c>
      <c r="K32" s="36" t="s">
        <v>23</v>
      </c>
      <c r="L32" s="33">
        <f>(Table8[[#This Row],[Garage_Booked_DateTime]] - Table8[[#This Row],[Defect_Reported_DateTime]])*24</f>
        <v>65.100000000034925</v>
      </c>
      <c r="M32" s="33" t="str">
        <f>IF(Table8[[#This Row],[Vehicle_Type]]&lt;&gt;"Specialised", "Not Applicable", IF(Table8[[#This Row],[Hours_To_Book]]&gt;48, "Yes", "No"))</f>
        <v>Not Applicable</v>
      </c>
      <c r="N32" s="35">
        <f>(Table8[[#This Row],[Garage_Out_Date]]-Table8[[#This Row],[Garage_In_Date]])</f>
        <v>3.8000000000029104</v>
      </c>
      <c r="O32" s="35" t="str">
        <f>IF(Table8[[#This Row],[Total_VOR_Days]] &gt;3.5, "Yes", "No")</f>
        <v>Yes</v>
      </c>
      <c r="P32" s="35" t="str">
        <f>IF(Table8[[#This Row],[Vehicle_Type]] &lt;&gt; "Specialised", "Not Applicable", IF(AND(Table8[[#This Row],[Hours_To_Book]] &lt;=48, Table8[[#This Row],[Total_VOR_Days]] &gt;3.5), "Ineffective", "Effective"))</f>
        <v>Not Applicable</v>
      </c>
      <c r="Q32" s="53">
        <f>IF(OR(Table8[[#This Row],[Garage_In_Date]]="",Table8[[#This Row],[Actual_Repair_Start_Date]]=""),"N/A",(Table8[[#This Row],[Actual_Repair_Start_Date]]-Table8[[#This Row],[Garage_In_Date]])*24)</f>
        <v>4.0000000001164153</v>
      </c>
      <c r="R32" s="53" t="str">
        <f>_xlfn.XLOOKUP(Table8[[#This Row],[Vehicle_ID]],Table5[Vehicle_ID],Table5[MOT_Linked],"Not Found")</f>
        <v>No</v>
      </c>
      <c r="S32" s="53"/>
      <c r="T32" s="3"/>
      <c r="U32" s="3"/>
      <c r="V32" s="3"/>
      <c r="W32" s="3"/>
      <c r="X32" s="5"/>
      <c r="Y32" s="7"/>
      <c r="Z32" s="7"/>
      <c r="AA32" s="9"/>
      <c r="AB32" s="9"/>
      <c r="AC32" s="9"/>
      <c r="AD32" s="6"/>
    </row>
    <row r="33" spans="1:30" ht="24.95" customHeight="1">
      <c r="A33" s="37" t="s">
        <v>69</v>
      </c>
      <c r="B33" s="38" t="s">
        <v>14</v>
      </c>
      <c r="C33" s="38" t="s">
        <v>222</v>
      </c>
      <c r="D33" s="26">
        <v>46063.583333333343</v>
      </c>
      <c r="E33" s="26">
        <v>46065.770833333343</v>
      </c>
      <c r="F33" s="26">
        <v>46067.270833333343</v>
      </c>
      <c r="G33" s="26">
        <v>46071.67083333333</v>
      </c>
      <c r="H33" s="26">
        <v>46067.395833333343</v>
      </c>
      <c r="I33" s="26">
        <v>46070</v>
      </c>
      <c r="J33" s="40" t="s">
        <v>33</v>
      </c>
      <c r="K33" s="42" t="s">
        <v>48</v>
      </c>
      <c r="L33" s="39">
        <f>(Table8[[#This Row],[Garage_Booked_DateTime]] - Table8[[#This Row],[Defect_Reported_DateTime]])*24</f>
        <v>52.5</v>
      </c>
      <c r="M33" s="39" t="str">
        <f>IF(Table8[[#This Row],[Vehicle_Type]]&lt;&gt;"Specialised", "Not Applicable", IF(Table8[[#This Row],[Hours_To_Book]]&gt;48, "Yes", "No"))</f>
        <v>Yes</v>
      </c>
      <c r="N33" s="41">
        <f>(Table8[[#This Row],[Garage_Out_Date]]-Table8[[#This Row],[Garage_In_Date]])</f>
        <v>4.3999999999869033</v>
      </c>
      <c r="O33" s="41" t="str">
        <f>IF(Table8[[#This Row],[Total_VOR_Days]] &gt;3.5, "Yes", "No")</f>
        <v>Yes</v>
      </c>
      <c r="P33" s="41" t="str">
        <f>IF(Table8[[#This Row],[Vehicle_Type]] &lt;&gt; "Specialised", "Not Applicable", IF(AND(Table8[[#This Row],[Hours_To_Book]] &lt;=48, Table8[[#This Row],[Total_VOR_Days]] &gt;3.5), "Ineffective", "Effective"))</f>
        <v>Effective</v>
      </c>
      <c r="Q33" s="53">
        <f>IF(OR(Table8[[#This Row],[Garage_In_Date]]="",Table8[[#This Row],[Actual_Repair_Start_Date]]=""),"N/A",(Table8[[#This Row],[Actual_Repair_Start_Date]]-Table8[[#This Row],[Garage_In_Date]])*24)</f>
        <v>3</v>
      </c>
      <c r="R33" s="53" t="str">
        <f>_xlfn.XLOOKUP(Table8[[#This Row],[Vehicle_ID]],Table5[Vehicle_ID],Table5[MOT_Linked],"Not Found")</f>
        <v>No</v>
      </c>
      <c r="S33" s="53"/>
      <c r="T33" s="3"/>
      <c r="U33" s="3"/>
      <c r="V33" s="3"/>
      <c r="W33" s="3"/>
      <c r="X33" s="5"/>
      <c r="Y33" s="7"/>
      <c r="Z33" s="7"/>
      <c r="AA33" s="9"/>
      <c r="AB33" s="9"/>
      <c r="AC33" s="9"/>
      <c r="AD33" s="6"/>
    </row>
    <row r="34" spans="1:30" ht="24.95" customHeight="1">
      <c r="A34" s="31" t="s">
        <v>70</v>
      </c>
      <c r="B34" s="32" t="s">
        <v>21</v>
      </c>
      <c r="C34" s="32" t="s">
        <v>26</v>
      </c>
      <c r="D34" s="23">
        <v>46078.395833333343</v>
      </c>
      <c r="E34" s="23">
        <v>46080.945833333331</v>
      </c>
      <c r="F34" s="23">
        <v>46082.445833333331</v>
      </c>
      <c r="G34" s="23">
        <v>46085.145833333343</v>
      </c>
      <c r="H34" s="23">
        <v>46082.445833333331</v>
      </c>
      <c r="I34" s="23">
        <v>46085</v>
      </c>
      <c r="J34" s="34" t="s">
        <v>19</v>
      </c>
      <c r="K34" s="36" t="s">
        <v>23</v>
      </c>
      <c r="L34" s="33">
        <f>(Table8[[#This Row],[Garage_Booked_DateTime]] - Table8[[#This Row],[Defect_Reported_DateTime]])*24</f>
        <v>61.199999999720603</v>
      </c>
      <c r="M34" s="33" t="str">
        <f>IF(Table8[[#This Row],[Vehicle_Type]]&lt;&gt;"Specialised", "Not Applicable", IF(Table8[[#This Row],[Hours_To_Book]]&gt;48, "Yes", "No"))</f>
        <v>Not Applicable</v>
      </c>
      <c r="N34" s="35">
        <f>(Table8[[#This Row],[Garage_Out_Date]]-Table8[[#This Row],[Garage_In_Date]])</f>
        <v>2.7000000000116415</v>
      </c>
      <c r="O34" s="35" t="str">
        <f>IF(Table8[[#This Row],[Total_VOR_Days]] &gt;3.5, "Yes", "No")</f>
        <v>No</v>
      </c>
      <c r="P34" s="35" t="str">
        <f>IF(Table8[[#This Row],[Vehicle_Type]] &lt;&gt; "Specialised", "Not Applicable", IF(AND(Table8[[#This Row],[Hours_To_Book]] &lt;=48, Table8[[#This Row],[Total_VOR_Days]] &gt;3.5), "Ineffective", "Effective"))</f>
        <v>Not Applicable</v>
      </c>
      <c r="Q34" s="53">
        <f>IF(OR(Table8[[#This Row],[Garage_In_Date]]="",Table8[[#This Row],[Actual_Repair_Start_Date]]=""),"N/A",(Table8[[#This Row],[Actual_Repair_Start_Date]]-Table8[[#This Row],[Garage_In_Date]])*24)</f>
        <v>0</v>
      </c>
      <c r="R34" s="53" t="str">
        <f>_xlfn.XLOOKUP(Table8[[#This Row],[Vehicle_ID]],Table5[Vehicle_ID],Table5[MOT_Linked],"Not Found")</f>
        <v>No</v>
      </c>
      <c r="S34" s="53"/>
      <c r="T34" s="3"/>
      <c r="U34" s="3"/>
      <c r="V34" s="3"/>
      <c r="W34" s="3"/>
      <c r="X34" s="5"/>
      <c r="Y34" s="7"/>
      <c r="Z34" s="7"/>
      <c r="AA34" s="9"/>
      <c r="AB34" s="9"/>
      <c r="AC34" s="9"/>
      <c r="AD34" s="6"/>
    </row>
    <row r="35" spans="1:30" ht="24.95" customHeight="1">
      <c r="A35" s="37" t="s">
        <v>71</v>
      </c>
      <c r="B35" s="38" t="s">
        <v>21</v>
      </c>
      <c r="C35" s="38" t="s">
        <v>22</v>
      </c>
      <c r="D35" s="26">
        <v>46060.677083333343</v>
      </c>
      <c r="E35" s="26">
        <v>46064.606249999997</v>
      </c>
      <c r="F35" s="26">
        <v>46064.772916666669</v>
      </c>
      <c r="G35" s="26">
        <v>46065.272916666669</v>
      </c>
      <c r="H35" s="26">
        <v>46065.272916666669</v>
      </c>
      <c r="I35" s="26">
        <v>46065</v>
      </c>
      <c r="J35" s="40" t="s">
        <v>19</v>
      </c>
      <c r="K35" s="42" t="s">
        <v>27</v>
      </c>
      <c r="L35" s="39">
        <f>(Table8[[#This Row],[Garage_Booked_DateTime]] - Table8[[#This Row],[Defect_Reported_DateTime]])*24</f>
        <v>94.29999999969732</v>
      </c>
      <c r="M35" s="39" t="str">
        <f>IF(Table8[[#This Row],[Vehicle_Type]]&lt;&gt;"Specialised", "Not Applicable", IF(Table8[[#This Row],[Hours_To_Book]]&gt;48, "Yes", "No"))</f>
        <v>Not Applicable</v>
      </c>
      <c r="N35" s="41">
        <f>(Table8[[#This Row],[Garage_Out_Date]]-Table8[[#This Row],[Garage_In_Date]])</f>
        <v>0.5</v>
      </c>
      <c r="O35" s="41" t="str">
        <f>IF(Table8[[#This Row],[Total_VOR_Days]] &gt;3.5, "Yes", "No")</f>
        <v>No</v>
      </c>
      <c r="P35" s="41" t="str">
        <f>IF(Table8[[#This Row],[Vehicle_Type]] &lt;&gt; "Specialised", "Not Applicable", IF(AND(Table8[[#This Row],[Hours_To_Book]] &lt;=48, Table8[[#This Row],[Total_VOR_Days]] &gt;3.5), "Ineffective", "Effective"))</f>
        <v>Not Applicable</v>
      </c>
      <c r="Q35" s="53">
        <f>IF(OR(Table8[[#This Row],[Garage_In_Date]]="",Table8[[#This Row],[Actual_Repair_Start_Date]]=""),"N/A",(Table8[[#This Row],[Actual_Repair_Start_Date]]-Table8[[#This Row],[Garage_In_Date]])*24)</f>
        <v>12</v>
      </c>
      <c r="R35" s="53" t="str">
        <f>_xlfn.XLOOKUP(Table8[[#This Row],[Vehicle_ID]],Table5[Vehicle_ID],Table5[MOT_Linked],"Not Found")</f>
        <v>No</v>
      </c>
      <c r="S35" s="53"/>
      <c r="T35" s="3"/>
      <c r="U35" s="3"/>
      <c r="V35" s="3"/>
      <c r="W35" s="3"/>
      <c r="X35" s="5"/>
      <c r="Y35" s="7"/>
      <c r="Z35" s="7"/>
      <c r="AA35" s="9"/>
      <c r="AB35" s="9"/>
      <c r="AC35" s="9"/>
      <c r="AD35" s="6"/>
    </row>
    <row r="36" spans="1:30" ht="24.95" customHeight="1">
      <c r="A36" s="31" t="s">
        <v>72</v>
      </c>
      <c r="B36" s="32" t="s">
        <v>21</v>
      </c>
      <c r="C36" s="32" t="s">
        <v>15</v>
      </c>
      <c r="D36" s="23">
        <v>46061.510416666657</v>
      </c>
      <c r="E36" s="23">
        <v>46064.84375</v>
      </c>
      <c r="F36" s="23">
        <v>46065.84375</v>
      </c>
      <c r="G36" s="23">
        <v>46070.643750000003</v>
      </c>
      <c r="H36" s="23">
        <v>46066.010416666657</v>
      </c>
      <c r="I36" s="23">
        <v>46068</v>
      </c>
      <c r="J36" s="34" t="s">
        <v>33</v>
      </c>
      <c r="K36" s="36" t="s">
        <v>35</v>
      </c>
      <c r="L36" s="33">
        <f>(Table8[[#This Row],[Garage_Booked_DateTime]] - Table8[[#This Row],[Defect_Reported_DateTime]])*24</f>
        <v>80.000000000232831</v>
      </c>
      <c r="M36" s="33" t="str">
        <f>IF(Table8[[#This Row],[Vehicle_Type]]&lt;&gt;"Specialised", "Not Applicable", IF(Table8[[#This Row],[Hours_To_Book]]&gt;48, "Yes", "No"))</f>
        <v>Not Applicable</v>
      </c>
      <c r="N36" s="35">
        <f>(Table8[[#This Row],[Garage_Out_Date]]-Table8[[#This Row],[Garage_In_Date]])</f>
        <v>4.8000000000029104</v>
      </c>
      <c r="O36" s="35" t="str">
        <f>IF(Table8[[#This Row],[Total_VOR_Days]] &gt;3.5, "Yes", "No")</f>
        <v>Yes</v>
      </c>
      <c r="P36" s="35" t="str">
        <f>IF(Table8[[#This Row],[Vehicle_Type]] &lt;&gt; "Specialised", "Not Applicable", IF(AND(Table8[[#This Row],[Hours_To_Book]] &lt;=48, Table8[[#This Row],[Total_VOR_Days]] &gt;3.5), "Ineffective", "Effective"))</f>
        <v>Not Applicable</v>
      </c>
      <c r="Q36" s="53">
        <f>IF(OR(Table8[[#This Row],[Garage_In_Date]]="",Table8[[#This Row],[Actual_Repair_Start_Date]]=""),"N/A",(Table8[[#This Row],[Actual_Repair_Start_Date]]-Table8[[#This Row],[Garage_In_Date]])*24)</f>
        <v>3.9999999997671694</v>
      </c>
      <c r="R36" s="53" t="str">
        <f>_xlfn.XLOOKUP(Table8[[#This Row],[Vehicle_ID]],Table5[Vehicle_ID],Table5[MOT_Linked],"Not Found")</f>
        <v>No</v>
      </c>
      <c r="S36" s="53"/>
      <c r="T36" s="3"/>
      <c r="U36" s="3"/>
      <c r="V36" s="3"/>
      <c r="W36" s="3"/>
      <c r="X36" s="5"/>
      <c r="Y36" s="7"/>
      <c r="Z36" s="7"/>
      <c r="AA36" s="9"/>
      <c r="AB36" s="9"/>
      <c r="AC36" s="9"/>
      <c r="AD36" s="6"/>
    </row>
    <row r="37" spans="1:30" ht="24.95" customHeight="1">
      <c r="A37" s="37" t="s">
        <v>73</v>
      </c>
      <c r="B37" s="38" t="s">
        <v>14</v>
      </c>
      <c r="C37" s="38" t="s">
        <v>15</v>
      </c>
      <c r="D37" s="26">
        <v>46088.729166666657</v>
      </c>
      <c r="E37" s="26">
        <v>46089.466666666667</v>
      </c>
      <c r="F37" s="26">
        <v>46089.466666666667</v>
      </c>
      <c r="G37" s="26">
        <v>46095.066666666673</v>
      </c>
      <c r="H37" s="26">
        <v>46089.458333333343</v>
      </c>
      <c r="I37" s="26">
        <v>46094</v>
      </c>
      <c r="J37" s="40" t="s">
        <v>180</v>
      </c>
      <c r="K37" s="42" t="s">
        <v>48</v>
      </c>
      <c r="L37" s="39">
        <f>(Table8[[#This Row],[Garage_Booked_DateTime]] - Table8[[#This Row],[Defect_Reported_DateTime]])*24</f>
        <v>17.700000000244472</v>
      </c>
      <c r="M37" s="39" t="str">
        <f>IF(Table8[[#This Row],[Vehicle_Type]]&lt;&gt;"Specialised", "Not Applicable", IF(Table8[[#This Row],[Hours_To_Book]]&gt;48, "Yes", "No"))</f>
        <v>No</v>
      </c>
      <c r="N37" s="41">
        <f>(Table8[[#This Row],[Garage_Out_Date]]-Table8[[#This Row],[Garage_In_Date]])</f>
        <v>5.6000000000058208</v>
      </c>
      <c r="O37" s="41" t="str">
        <f>IF(Table8[[#This Row],[Total_VOR_Days]] &gt;3.5, "Yes", "No")</f>
        <v>Yes</v>
      </c>
      <c r="P37" s="41" t="str">
        <f>IF(Table8[[#This Row],[Vehicle_Type]] &lt;&gt; "Specialised", "Not Applicable", IF(AND(Table8[[#This Row],[Hours_To_Book]] &lt;=48, Table8[[#This Row],[Total_VOR_Days]] &gt;3.5), "Ineffective", "Effective"))</f>
        <v>Ineffective</v>
      </c>
      <c r="Q37" s="53">
        <f>IF(OR(Table8[[#This Row],[Garage_In_Date]]="",Table8[[#This Row],[Actual_Repair_Start_Date]]=""),"N/A",(Table8[[#This Row],[Actual_Repair_Start_Date]]-Table8[[#This Row],[Garage_In_Date]])*24)</f>
        <v>-0.19999999977881089</v>
      </c>
      <c r="R37" s="53" t="str">
        <f>_xlfn.XLOOKUP(Table8[[#This Row],[Vehicle_ID]],Table5[Vehicle_ID],Table5[MOT_Linked],"Not Found")</f>
        <v>No</v>
      </c>
      <c r="S37" s="53"/>
      <c r="T37" s="3"/>
      <c r="U37" s="3"/>
      <c r="V37" s="3"/>
      <c r="W37" s="3"/>
      <c r="X37" s="5"/>
      <c r="Y37" s="7"/>
      <c r="Z37" s="7"/>
      <c r="AA37" s="9"/>
      <c r="AB37" s="9"/>
      <c r="AC37" s="9"/>
      <c r="AD37" s="6"/>
    </row>
    <row r="38" spans="1:30" ht="24.95" customHeight="1">
      <c r="A38" s="31" t="s">
        <v>74</v>
      </c>
      <c r="B38" s="32" t="s">
        <v>21</v>
      </c>
      <c r="C38" s="32" t="s">
        <v>222</v>
      </c>
      <c r="D38" s="23">
        <v>46101.40625</v>
      </c>
      <c r="E38" s="23">
        <v>46102.306250000001</v>
      </c>
      <c r="F38" s="23">
        <v>46103.306250000001</v>
      </c>
      <c r="G38" s="23">
        <v>46109.506249999999</v>
      </c>
      <c r="H38" s="23">
        <v>46103.306250000001</v>
      </c>
      <c r="I38" s="23">
        <v>46108</v>
      </c>
      <c r="J38" s="34" t="s">
        <v>36</v>
      </c>
      <c r="K38" s="36" t="s">
        <v>31</v>
      </c>
      <c r="L38" s="33">
        <f>(Table8[[#This Row],[Garage_Booked_DateTime]] - Table8[[#This Row],[Defect_Reported_DateTime]])*24</f>
        <v>21.600000000034925</v>
      </c>
      <c r="M38" s="33" t="str">
        <f>IF(Table8[[#This Row],[Vehicle_Type]]&lt;&gt;"Specialised", "Not Applicable", IF(Table8[[#This Row],[Hours_To_Book]]&gt;48, "Yes", "No"))</f>
        <v>Not Applicable</v>
      </c>
      <c r="N38" s="35">
        <f>(Table8[[#This Row],[Garage_Out_Date]]-Table8[[#This Row],[Garage_In_Date]])</f>
        <v>6.1999999999970896</v>
      </c>
      <c r="O38" s="35" t="str">
        <f>IF(Table8[[#This Row],[Total_VOR_Days]] &gt;3.5, "Yes", "No")</f>
        <v>Yes</v>
      </c>
      <c r="P38" s="35" t="str">
        <f>IF(Table8[[#This Row],[Vehicle_Type]] &lt;&gt; "Specialised", "Not Applicable", IF(AND(Table8[[#This Row],[Hours_To_Book]] &lt;=48, Table8[[#This Row],[Total_VOR_Days]] &gt;3.5), "Ineffective", "Effective"))</f>
        <v>Not Applicable</v>
      </c>
      <c r="Q38" s="53">
        <f>IF(OR(Table8[[#This Row],[Garage_In_Date]]="",Table8[[#This Row],[Actual_Repair_Start_Date]]=""),"N/A",(Table8[[#This Row],[Actual_Repair_Start_Date]]-Table8[[#This Row],[Garage_In_Date]])*24)</f>
        <v>0</v>
      </c>
      <c r="R38" s="53" t="str">
        <f>_xlfn.XLOOKUP(Table8[[#This Row],[Vehicle_ID]],Table5[Vehicle_ID],Table5[MOT_Linked],"Not Found")</f>
        <v>No</v>
      </c>
      <c r="S38" s="53"/>
      <c r="T38" s="3"/>
      <c r="U38" s="3"/>
      <c r="V38" s="3"/>
      <c r="W38" s="3"/>
      <c r="X38" s="5"/>
      <c r="Y38" s="7"/>
      <c r="Z38" s="7"/>
      <c r="AA38" s="9"/>
      <c r="AB38" s="9"/>
      <c r="AC38" s="9"/>
      <c r="AD38" s="6"/>
    </row>
    <row r="39" spans="1:30" ht="24.95" customHeight="1">
      <c r="A39" s="37" t="s">
        <v>75</v>
      </c>
      <c r="B39" s="38" t="s">
        <v>21</v>
      </c>
      <c r="C39" s="38" t="s">
        <v>15</v>
      </c>
      <c r="D39" s="26">
        <v>46122.59375</v>
      </c>
      <c r="E39" s="26">
        <v>46124.097916666673</v>
      </c>
      <c r="F39" s="26">
        <v>46124.26458333333</v>
      </c>
      <c r="G39" s="26">
        <v>46129.464583333327</v>
      </c>
      <c r="H39" s="26">
        <v>46126.354166666657</v>
      </c>
      <c r="I39" s="26">
        <v>46130</v>
      </c>
      <c r="J39" s="40" t="s">
        <v>184</v>
      </c>
      <c r="K39" s="42" t="s">
        <v>35</v>
      </c>
      <c r="L39" s="39">
        <f>(Table8[[#This Row],[Garage_Booked_DateTime]] - Table8[[#This Row],[Defect_Reported_DateTime]])*24</f>
        <v>36.10000000015134</v>
      </c>
      <c r="M39" s="39" t="str">
        <f>IF(Table8[[#This Row],[Vehicle_Type]]&lt;&gt;"Specialised", "Not Applicable", IF(Table8[[#This Row],[Hours_To_Book]]&gt;48, "Yes", "No"))</f>
        <v>Not Applicable</v>
      </c>
      <c r="N39" s="41">
        <f>(Table8[[#This Row],[Garage_Out_Date]]-Table8[[#This Row],[Garage_In_Date]])</f>
        <v>5.1999999999970896</v>
      </c>
      <c r="O39" s="41" t="str">
        <f>IF(Table8[[#This Row],[Total_VOR_Days]] &gt;3.5, "Yes", "No")</f>
        <v>Yes</v>
      </c>
      <c r="P39" s="41" t="str">
        <f>IF(Table8[[#This Row],[Vehicle_Type]] &lt;&gt; "Specialised", "Not Applicable", IF(AND(Table8[[#This Row],[Hours_To_Book]] &lt;=48, Table8[[#This Row],[Total_VOR_Days]] &gt;3.5), "Ineffective", "Effective"))</f>
        <v>Not Applicable</v>
      </c>
      <c r="Q39" s="53">
        <f>IF(OR(Table8[[#This Row],[Garage_In_Date]]="",Table8[[#This Row],[Actual_Repair_Start_Date]]=""),"N/A",(Table8[[#This Row],[Actual_Repair_Start_Date]]-Table8[[#This Row],[Garage_In_Date]])*24)</f>
        <v>50.14999999984866</v>
      </c>
      <c r="R39" s="53" t="str">
        <f>_xlfn.XLOOKUP(Table8[[#This Row],[Vehicle_ID]],Table5[Vehicle_ID],Table5[MOT_Linked],"Not Found")</f>
        <v>No</v>
      </c>
      <c r="S39" s="53"/>
      <c r="T39" s="3"/>
      <c r="U39" s="3"/>
      <c r="V39" s="3"/>
      <c r="W39" s="3"/>
      <c r="X39" s="5"/>
      <c r="Y39" s="7"/>
      <c r="Z39" s="7"/>
      <c r="AA39" s="9"/>
      <c r="AB39" s="9"/>
      <c r="AC39" s="9"/>
      <c r="AD39" s="6"/>
    </row>
    <row r="40" spans="1:30" ht="24.95" customHeight="1">
      <c r="A40" s="31" t="s">
        <v>76</v>
      </c>
      <c r="B40" s="32" t="s">
        <v>21</v>
      </c>
      <c r="C40" s="32" t="s">
        <v>222</v>
      </c>
      <c r="D40" s="23">
        <v>46108.6875</v>
      </c>
      <c r="E40" s="23">
        <v>46109.645833333343</v>
      </c>
      <c r="F40" s="23">
        <v>46110.645833333343</v>
      </c>
      <c r="G40" s="23">
        <v>46112.445833333331</v>
      </c>
      <c r="H40" s="23">
        <v>46110.8125</v>
      </c>
      <c r="I40" s="23">
        <v>46111</v>
      </c>
      <c r="J40" s="34" t="s">
        <v>19</v>
      </c>
      <c r="K40" s="36" t="s">
        <v>44</v>
      </c>
      <c r="L40" s="33">
        <f>(Table8[[#This Row],[Garage_Booked_DateTime]] - Table8[[#This Row],[Defect_Reported_DateTime]])*24</f>
        <v>23.000000000232831</v>
      </c>
      <c r="M40" s="33" t="str">
        <f>IF(Table8[[#This Row],[Vehicle_Type]]&lt;&gt;"Specialised", "Not Applicable", IF(Table8[[#This Row],[Hours_To_Book]]&gt;48, "Yes", "No"))</f>
        <v>Not Applicable</v>
      </c>
      <c r="N40" s="35">
        <f>(Table8[[#This Row],[Garage_Out_Date]]-Table8[[#This Row],[Garage_In_Date]])</f>
        <v>1.7999999999883585</v>
      </c>
      <c r="O40" s="35" t="str">
        <f>IF(Table8[[#This Row],[Total_VOR_Days]] &gt;3.5, "Yes", "No")</f>
        <v>No</v>
      </c>
      <c r="P40" s="35" t="str">
        <f>IF(Table8[[#This Row],[Vehicle_Type]] &lt;&gt; "Specialised", "Not Applicable", IF(AND(Table8[[#This Row],[Hours_To_Book]] &lt;=48, Table8[[#This Row],[Total_VOR_Days]] &gt;3.5), "Ineffective", "Effective"))</f>
        <v>Not Applicable</v>
      </c>
      <c r="Q40" s="53">
        <f>IF(OR(Table8[[#This Row],[Garage_In_Date]]="",Table8[[#This Row],[Actual_Repair_Start_Date]]=""),"N/A",(Table8[[#This Row],[Actual_Repair_Start_Date]]-Table8[[#This Row],[Garage_In_Date]])*24)</f>
        <v>3.9999999997671694</v>
      </c>
      <c r="R40" s="53" t="str">
        <f>_xlfn.XLOOKUP(Table8[[#This Row],[Vehicle_ID]],Table5[Vehicle_ID],Table5[MOT_Linked],"Not Found")</f>
        <v>No</v>
      </c>
      <c r="S40" s="53"/>
      <c r="T40" s="3"/>
      <c r="U40" s="3"/>
      <c r="V40" s="3"/>
      <c r="W40" s="3"/>
      <c r="X40" s="5"/>
      <c r="Y40" s="7"/>
      <c r="Z40" s="7"/>
      <c r="AA40" s="9"/>
      <c r="AB40" s="9"/>
      <c r="AC40" s="9"/>
      <c r="AD40" s="6"/>
    </row>
    <row r="41" spans="1:30" ht="24.95" customHeight="1">
      <c r="A41" s="37" t="s">
        <v>77</v>
      </c>
      <c r="B41" s="38" t="s">
        <v>21</v>
      </c>
      <c r="C41" s="38" t="s">
        <v>222</v>
      </c>
      <c r="D41" s="26">
        <v>46056.479166666657</v>
      </c>
      <c r="E41" s="26">
        <v>46057.820833333331</v>
      </c>
      <c r="F41" s="26">
        <v>46059.320833333331</v>
      </c>
      <c r="G41" s="26">
        <v>46062.020833333343</v>
      </c>
      <c r="H41" s="26">
        <v>46060.375</v>
      </c>
      <c r="I41" s="26">
        <v>46061</v>
      </c>
      <c r="J41" s="40" t="s">
        <v>19</v>
      </c>
      <c r="K41" s="42" t="s">
        <v>27</v>
      </c>
      <c r="L41" s="39">
        <f>(Table8[[#This Row],[Garage_Booked_DateTime]] - Table8[[#This Row],[Defect_Reported_DateTime]])*24</f>
        <v>32.200000000186265</v>
      </c>
      <c r="M41" s="39" t="str">
        <f>IF(Table8[[#This Row],[Vehicle_Type]]&lt;&gt;"Specialised", "Not Applicable", IF(Table8[[#This Row],[Hours_To_Book]]&gt;48, "Yes", "No"))</f>
        <v>Not Applicable</v>
      </c>
      <c r="N41" s="41">
        <f>(Table8[[#This Row],[Garage_Out_Date]]-Table8[[#This Row],[Garage_In_Date]])</f>
        <v>2.7000000000116415</v>
      </c>
      <c r="O41" s="41" t="str">
        <f>IF(Table8[[#This Row],[Total_VOR_Days]] &gt;3.5, "Yes", "No")</f>
        <v>No</v>
      </c>
      <c r="P41" s="41" t="str">
        <f>IF(Table8[[#This Row],[Vehicle_Type]] &lt;&gt; "Specialised", "Not Applicable", IF(AND(Table8[[#This Row],[Hours_To_Book]] &lt;=48, Table8[[#This Row],[Total_VOR_Days]] &gt;3.5), "Ineffective", "Effective"))</f>
        <v>Not Applicable</v>
      </c>
      <c r="Q41" s="53">
        <f>IF(OR(Table8[[#This Row],[Garage_In_Date]]="",Table8[[#This Row],[Actual_Repair_Start_Date]]=""),"N/A",(Table8[[#This Row],[Actual_Repair_Start_Date]]-Table8[[#This Row],[Garage_In_Date]])*24)</f>
        <v>25.300000000046566</v>
      </c>
      <c r="R41" s="53" t="str">
        <f>_xlfn.XLOOKUP(Table8[[#This Row],[Vehicle_ID]],Table5[Vehicle_ID],Table5[MOT_Linked],"Not Found")</f>
        <v>No</v>
      </c>
      <c r="S41" s="53"/>
      <c r="T41" s="3"/>
      <c r="U41" s="3"/>
      <c r="V41" s="3"/>
      <c r="W41" s="3"/>
      <c r="X41" s="5"/>
      <c r="Y41" s="7"/>
      <c r="Z41" s="7"/>
      <c r="AA41" s="9"/>
      <c r="AB41" s="9"/>
      <c r="AC41" s="9"/>
      <c r="AD41" s="6"/>
    </row>
    <row r="42" spans="1:30" ht="24.95" customHeight="1">
      <c r="A42" s="31" t="s">
        <v>78</v>
      </c>
      <c r="B42" s="32" t="s">
        <v>21</v>
      </c>
      <c r="C42" s="32" t="s">
        <v>15</v>
      </c>
      <c r="D42" s="23">
        <v>46040.427083333343</v>
      </c>
      <c r="E42" s="23">
        <v>46042.785416666673</v>
      </c>
      <c r="F42" s="23">
        <v>46043.785416666673</v>
      </c>
      <c r="G42" s="23">
        <v>46051.98541666667</v>
      </c>
      <c r="H42" s="23">
        <v>46043.785416666673</v>
      </c>
      <c r="I42" s="23">
        <v>46050</v>
      </c>
      <c r="J42" s="34" t="s">
        <v>36</v>
      </c>
      <c r="K42" s="36" t="s">
        <v>23</v>
      </c>
      <c r="L42" s="33">
        <f>(Table8[[#This Row],[Garage_Booked_DateTime]] - Table8[[#This Row],[Defect_Reported_DateTime]])*24</f>
        <v>56.599999999918509</v>
      </c>
      <c r="M42" s="33" t="str">
        <f>IF(Table8[[#This Row],[Vehicle_Type]]&lt;&gt;"Specialised", "Not Applicable", IF(Table8[[#This Row],[Hours_To_Book]]&gt;48, "Yes", "No"))</f>
        <v>Not Applicable</v>
      </c>
      <c r="N42" s="35">
        <f>(Table8[[#This Row],[Garage_Out_Date]]-Table8[[#This Row],[Garage_In_Date]])</f>
        <v>8.1999999999970896</v>
      </c>
      <c r="O42" s="35" t="str">
        <f>IF(Table8[[#This Row],[Total_VOR_Days]] &gt;3.5, "Yes", "No")</f>
        <v>Yes</v>
      </c>
      <c r="P42" s="35" t="str">
        <f>IF(Table8[[#This Row],[Vehicle_Type]] &lt;&gt; "Specialised", "Not Applicable", IF(AND(Table8[[#This Row],[Hours_To_Book]] &lt;=48, Table8[[#This Row],[Total_VOR_Days]] &gt;3.5), "Ineffective", "Effective"))</f>
        <v>Not Applicable</v>
      </c>
      <c r="Q42" s="53">
        <f>IF(OR(Table8[[#This Row],[Garage_In_Date]]="",Table8[[#This Row],[Actual_Repair_Start_Date]]=""),"N/A",(Table8[[#This Row],[Actual_Repair_Start_Date]]-Table8[[#This Row],[Garage_In_Date]])*24)</f>
        <v>0</v>
      </c>
      <c r="R42" s="53" t="str">
        <f>_xlfn.XLOOKUP(Table8[[#This Row],[Vehicle_ID]],Table5[Vehicle_ID],Table5[MOT_Linked],"Not Found")</f>
        <v>No</v>
      </c>
      <c r="S42" s="53"/>
      <c r="T42" s="3"/>
      <c r="U42" s="3"/>
      <c r="V42" s="3"/>
      <c r="W42" s="3"/>
      <c r="X42" s="5"/>
      <c r="Y42" s="7"/>
      <c r="Z42" s="7"/>
      <c r="AA42" s="9"/>
      <c r="AB42" s="9"/>
      <c r="AC42" s="9"/>
      <c r="AD42" s="6"/>
    </row>
    <row r="43" spans="1:30" ht="24.95" customHeight="1">
      <c r="A43" s="37" t="s">
        <v>79</v>
      </c>
      <c r="B43" s="38" t="s">
        <v>21</v>
      </c>
      <c r="C43" s="38" t="s">
        <v>222</v>
      </c>
      <c r="D43" s="26">
        <v>46138.708333333343</v>
      </c>
      <c r="E43" s="26">
        <v>46139.654166666667</v>
      </c>
      <c r="F43" s="26">
        <v>46141.154166666667</v>
      </c>
      <c r="G43" s="26">
        <v>46145.154166666667</v>
      </c>
      <c r="H43" s="26">
        <v>46143.479166666657</v>
      </c>
      <c r="I43" s="26">
        <v>46145</v>
      </c>
      <c r="J43" s="40" t="s">
        <v>33</v>
      </c>
      <c r="K43" s="42" t="s">
        <v>23</v>
      </c>
      <c r="L43" s="39">
        <f>(Table8[[#This Row],[Garage_Booked_DateTime]] - Table8[[#This Row],[Defect_Reported_DateTime]])*24</f>
        <v>22.699999999778811</v>
      </c>
      <c r="M43" s="39" t="str">
        <f>IF(Table8[[#This Row],[Vehicle_Type]]&lt;&gt;"Specialised", "Not Applicable", IF(Table8[[#This Row],[Hours_To_Book]]&gt;48, "Yes", "No"))</f>
        <v>Not Applicable</v>
      </c>
      <c r="N43" s="41">
        <f>(Table8[[#This Row],[Garage_Out_Date]]-Table8[[#This Row],[Garage_In_Date]])</f>
        <v>4</v>
      </c>
      <c r="O43" s="41" t="str">
        <f>IF(Table8[[#This Row],[Total_VOR_Days]] &gt;3.5, "Yes", "No")</f>
        <v>Yes</v>
      </c>
      <c r="P43" s="41" t="str">
        <f>IF(Table8[[#This Row],[Vehicle_Type]] &lt;&gt; "Specialised", "Not Applicable", IF(AND(Table8[[#This Row],[Hours_To_Book]] &lt;=48, Table8[[#This Row],[Total_VOR_Days]] &gt;3.5), "Ineffective", "Effective"))</f>
        <v>Not Applicable</v>
      </c>
      <c r="Q43" s="53">
        <f>IF(OR(Table8[[#This Row],[Garage_In_Date]]="",Table8[[#This Row],[Actual_Repair_Start_Date]]=""),"N/A",(Table8[[#This Row],[Actual_Repair_Start_Date]]-Table8[[#This Row],[Garage_In_Date]])*24)</f>
        <v>55.799999999755528</v>
      </c>
      <c r="R43" s="53" t="str">
        <f>_xlfn.XLOOKUP(Table8[[#This Row],[Vehicle_ID]],Table5[Vehicle_ID],Table5[MOT_Linked],"Not Found")</f>
        <v>No</v>
      </c>
      <c r="S43" s="53"/>
      <c r="T43" s="3"/>
      <c r="U43" s="3"/>
      <c r="V43" s="3"/>
      <c r="W43" s="3"/>
      <c r="X43" s="5"/>
      <c r="Y43" s="7"/>
      <c r="Z43" s="7"/>
      <c r="AA43" s="9"/>
      <c r="AB43" s="9"/>
      <c r="AC43" s="9"/>
      <c r="AD43" s="6"/>
    </row>
    <row r="44" spans="1:30" ht="24.95" customHeight="1">
      <c r="A44" s="31" t="s">
        <v>80</v>
      </c>
      <c r="B44" s="32" t="s">
        <v>21</v>
      </c>
      <c r="C44" s="32" t="s">
        <v>42</v>
      </c>
      <c r="D44" s="23">
        <v>46118.677083333343</v>
      </c>
      <c r="E44" s="23">
        <v>46121.035416666673</v>
      </c>
      <c r="F44" s="23">
        <v>46122.035416666673</v>
      </c>
      <c r="G44" s="23">
        <v>46131.335416666669</v>
      </c>
      <c r="H44" s="23">
        <v>46123.333333333343</v>
      </c>
      <c r="I44" s="23">
        <v>46131</v>
      </c>
      <c r="J44" s="34" t="s">
        <v>36</v>
      </c>
      <c r="K44" s="36" t="s">
        <v>44</v>
      </c>
      <c r="L44" s="33">
        <f>(Table8[[#This Row],[Garage_Booked_DateTime]] - Table8[[#This Row],[Defect_Reported_DateTime]])*24</f>
        <v>56.599999999918509</v>
      </c>
      <c r="M44" s="33" t="str">
        <f>IF(Table8[[#This Row],[Vehicle_Type]]&lt;&gt;"Specialised", "Not Applicable", IF(Table8[[#This Row],[Hours_To_Book]]&gt;48, "Yes", "No"))</f>
        <v>Not Applicable</v>
      </c>
      <c r="N44" s="35">
        <f>(Table8[[#This Row],[Garage_Out_Date]]-Table8[[#This Row],[Garage_In_Date]])</f>
        <v>9.2999999999956344</v>
      </c>
      <c r="O44" s="35" t="str">
        <f>IF(Table8[[#This Row],[Total_VOR_Days]] &gt;3.5, "Yes", "No")</f>
        <v>Yes</v>
      </c>
      <c r="P44" s="35" t="str">
        <f>IF(Table8[[#This Row],[Vehicle_Type]] &lt;&gt; "Specialised", "Not Applicable", IF(AND(Table8[[#This Row],[Hours_To_Book]] &lt;=48, Table8[[#This Row],[Total_VOR_Days]] &gt;3.5), "Ineffective", "Effective"))</f>
        <v>Not Applicable</v>
      </c>
      <c r="Q44" s="53">
        <f>IF(OR(Table8[[#This Row],[Garage_In_Date]]="",Table8[[#This Row],[Actual_Repair_Start_Date]]=""),"N/A",(Table8[[#This Row],[Actual_Repair_Start_Date]]-Table8[[#This Row],[Garage_In_Date]])*24)</f>
        <v>31.150000000081491</v>
      </c>
      <c r="R44" s="53" t="str">
        <f>_xlfn.XLOOKUP(Table8[[#This Row],[Vehicle_ID]],Table5[Vehicle_ID],Table5[MOT_Linked],"Not Found")</f>
        <v>No</v>
      </c>
      <c r="S44" s="53"/>
      <c r="T44" s="3"/>
      <c r="U44" s="3"/>
      <c r="V44" s="3"/>
      <c r="W44" s="3"/>
      <c r="X44" s="5"/>
      <c r="Y44" s="7"/>
      <c r="Z44" s="7"/>
      <c r="AA44" s="9"/>
      <c r="AB44" s="9"/>
      <c r="AC44" s="9"/>
      <c r="AD44" s="6"/>
    </row>
    <row r="45" spans="1:30" ht="24.95" customHeight="1">
      <c r="A45" s="37" t="s">
        <v>81</v>
      </c>
      <c r="B45" s="38" t="s">
        <v>14</v>
      </c>
      <c r="C45" s="38" t="s">
        <v>22</v>
      </c>
      <c r="D45" s="26">
        <v>46091.364583333343</v>
      </c>
      <c r="E45" s="26">
        <v>46092.943749999999</v>
      </c>
      <c r="F45" s="26">
        <v>46094.443749999999</v>
      </c>
      <c r="G45" s="26">
        <v>46098.243750000001</v>
      </c>
      <c r="H45" s="26">
        <v>46096.333333333343</v>
      </c>
      <c r="I45" s="26">
        <v>46097</v>
      </c>
      <c r="J45" s="40" t="s">
        <v>33</v>
      </c>
      <c r="K45" s="42" t="s">
        <v>23</v>
      </c>
      <c r="L45" s="39">
        <f>(Table8[[#This Row],[Garage_Booked_DateTime]] - Table8[[#This Row],[Defect_Reported_DateTime]])*24</f>
        <v>37.899999999732245</v>
      </c>
      <c r="M45" s="39" t="str">
        <f>IF(Table8[[#This Row],[Vehicle_Type]]&lt;&gt;"Specialised", "Not Applicable", IF(Table8[[#This Row],[Hours_To_Book]]&gt;48, "Yes", "No"))</f>
        <v>No</v>
      </c>
      <c r="N45" s="41">
        <f>(Table8[[#This Row],[Garage_Out_Date]]-Table8[[#This Row],[Garage_In_Date]])</f>
        <v>3.8000000000029104</v>
      </c>
      <c r="O45" s="41" t="str">
        <f>IF(Table8[[#This Row],[Total_VOR_Days]] &gt;3.5, "Yes", "No")</f>
        <v>Yes</v>
      </c>
      <c r="P45" s="41" t="str">
        <f>IF(Table8[[#This Row],[Vehicle_Type]] &lt;&gt; "Specialised", "Not Applicable", IF(AND(Table8[[#This Row],[Hours_To_Book]] &lt;=48, Table8[[#This Row],[Total_VOR_Days]] &gt;3.5), "Ineffective", "Effective"))</f>
        <v>Ineffective</v>
      </c>
      <c r="Q45" s="53">
        <f>IF(OR(Table8[[#This Row],[Garage_In_Date]]="",Table8[[#This Row],[Actual_Repair_Start_Date]]=""),"N/A",(Table8[[#This Row],[Actual_Repair_Start_Date]]-Table8[[#This Row],[Garage_In_Date]])*24)</f>
        <v>45.350000000267755</v>
      </c>
      <c r="R45" s="53" t="str">
        <f>_xlfn.XLOOKUP(Table8[[#This Row],[Vehicle_ID]],Table5[Vehicle_ID],Table5[MOT_Linked],"Not Found")</f>
        <v>Yes</v>
      </c>
      <c r="S45" s="53"/>
      <c r="T45" s="3"/>
      <c r="U45" s="3"/>
      <c r="V45" s="3"/>
      <c r="W45" s="3"/>
      <c r="X45" s="5"/>
      <c r="Y45" s="7"/>
      <c r="Z45" s="7"/>
      <c r="AA45" s="9"/>
      <c r="AB45" s="9"/>
      <c r="AC45" s="9"/>
      <c r="AD45" s="6"/>
    </row>
    <row r="46" spans="1:30" ht="24.95" customHeight="1">
      <c r="A46" s="31" t="s">
        <v>82</v>
      </c>
      <c r="B46" s="32" t="s">
        <v>21</v>
      </c>
      <c r="C46" s="32" t="s">
        <v>26</v>
      </c>
      <c r="D46" s="23">
        <v>46050.645833333343</v>
      </c>
      <c r="E46" s="23">
        <v>46052.854166666657</v>
      </c>
      <c r="F46" s="23">
        <v>46053.1875</v>
      </c>
      <c r="G46" s="23">
        <v>46057.487500000003</v>
      </c>
      <c r="H46" s="23">
        <v>46055.46875</v>
      </c>
      <c r="I46" s="23">
        <v>46057</v>
      </c>
      <c r="J46" s="34" t="s">
        <v>28</v>
      </c>
      <c r="K46" s="36" t="s">
        <v>31</v>
      </c>
      <c r="L46" s="33">
        <f>(Table8[[#This Row],[Garage_Booked_DateTime]] - Table8[[#This Row],[Defect_Reported_DateTime]])*24</f>
        <v>52.999999999534339</v>
      </c>
      <c r="M46" s="33" t="str">
        <f>IF(Table8[[#This Row],[Vehicle_Type]]&lt;&gt;"Specialised", "Not Applicable", IF(Table8[[#This Row],[Hours_To_Book]]&gt;48, "Yes", "No"))</f>
        <v>Not Applicable</v>
      </c>
      <c r="N46" s="35">
        <f>(Table8[[#This Row],[Garage_Out_Date]]-Table8[[#This Row],[Garage_In_Date]])</f>
        <v>4.3000000000029104</v>
      </c>
      <c r="O46" s="35" t="str">
        <f>IF(Table8[[#This Row],[Total_VOR_Days]] &gt;3.5, "Yes", "No")</f>
        <v>Yes</v>
      </c>
      <c r="P46" s="35" t="str">
        <f>IF(Table8[[#This Row],[Vehicle_Type]] &lt;&gt; "Specialised", "Not Applicable", IF(AND(Table8[[#This Row],[Hours_To_Book]] &lt;=48, Table8[[#This Row],[Total_VOR_Days]] &gt;3.5), "Ineffective", "Effective"))</f>
        <v>Not Applicable</v>
      </c>
      <c r="Q46" s="53">
        <f>IF(OR(Table8[[#This Row],[Garage_In_Date]]="",Table8[[#This Row],[Actual_Repair_Start_Date]]=""),"N/A",(Table8[[#This Row],[Actual_Repair_Start_Date]]-Table8[[#This Row],[Garage_In_Date]])*24)</f>
        <v>54.75</v>
      </c>
      <c r="R46" s="53" t="str">
        <f>_xlfn.XLOOKUP(Table8[[#This Row],[Vehicle_ID]],Table5[Vehicle_ID],Table5[MOT_Linked],"Not Found")</f>
        <v>No</v>
      </c>
      <c r="S46" s="53"/>
      <c r="T46" s="3"/>
      <c r="U46" s="3"/>
      <c r="V46" s="3"/>
      <c r="W46" s="3"/>
      <c r="X46" s="5"/>
      <c r="Y46" s="7"/>
      <c r="Z46" s="7"/>
      <c r="AA46" s="9"/>
      <c r="AB46" s="9"/>
      <c r="AC46" s="9"/>
      <c r="AD46" s="6"/>
    </row>
    <row r="47" spans="1:30" ht="24.95" customHeight="1">
      <c r="A47" s="37" t="s">
        <v>84</v>
      </c>
      <c r="B47" s="38" t="s">
        <v>21</v>
      </c>
      <c r="C47" s="38" t="s">
        <v>22</v>
      </c>
      <c r="D47" s="26">
        <v>46092.354166666657</v>
      </c>
      <c r="E47" s="26">
        <v>46093.754166666673</v>
      </c>
      <c r="F47" s="26">
        <v>46093.92083333333</v>
      </c>
      <c r="G47" s="26">
        <v>46096.120833333327</v>
      </c>
      <c r="H47" s="26">
        <v>46094.458333333343</v>
      </c>
      <c r="I47" s="26">
        <v>46096</v>
      </c>
      <c r="J47" s="40" t="s">
        <v>19</v>
      </c>
      <c r="K47" s="42" t="s">
        <v>31</v>
      </c>
      <c r="L47" s="39">
        <f>(Table8[[#This Row],[Garage_Booked_DateTime]] - Table8[[#This Row],[Defect_Reported_DateTime]])*24</f>
        <v>33.600000000384171</v>
      </c>
      <c r="M47" s="39" t="str">
        <f>IF(Table8[[#This Row],[Vehicle_Type]]&lt;&gt;"Specialised", "Not Applicable", IF(Table8[[#This Row],[Hours_To_Book]]&gt;48, "Yes", "No"))</f>
        <v>Not Applicable</v>
      </c>
      <c r="N47" s="41">
        <f>(Table8[[#This Row],[Garage_Out_Date]]-Table8[[#This Row],[Garage_In_Date]])</f>
        <v>2.1999999999970896</v>
      </c>
      <c r="O47" s="41" t="str">
        <f>IF(Table8[[#This Row],[Total_VOR_Days]] &gt;3.5, "Yes", "No")</f>
        <v>No</v>
      </c>
      <c r="P47" s="41" t="str">
        <f>IF(Table8[[#This Row],[Vehicle_Type]] &lt;&gt; "Specialised", "Not Applicable", IF(AND(Table8[[#This Row],[Hours_To_Book]] &lt;=48, Table8[[#This Row],[Total_VOR_Days]] &gt;3.5), "Ineffective", "Effective"))</f>
        <v>Not Applicable</v>
      </c>
      <c r="Q47" s="53">
        <f>IF(OR(Table8[[#This Row],[Garage_In_Date]]="",Table8[[#This Row],[Actual_Repair_Start_Date]]=""),"N/A",(Table8[[#This Row],[Actual_Repair_Start_Date]]-Table8[[#This Row],[Garage_In_Date]])*24)</f>
        <v>12.900000000314321</v>
      </c>
      <c r="R47" s="53" t="str">
        <f>_xlfn.XLOOKUP(Table8[[#This Row],[Vehicle_ID]],Table5[Vehicle_ID],Table5[MOT_Linked],"Not Found")</f>
        <v>No</v>
      </c>
      <c r="S47" s="53"/>
      <c r="T47" s="3"/>
      <c r="U47" s="3"/>
      <c r="V47" s="3"/>
      <c r="W47" s="3"/>
      <c r="X47" s="5"/>
      <c r="Y47" s="7"/>
      <c r="Z47" s="7"/>
      <c r="AA47" s="9"/>
      <c r="AB47" s="9"/>
      <c r="AC47" s="9"/>
      <c r="AD47" s="6"/>
    </row>
    <row r="48" spans="1:30" ht="24.95" customHeight="1">
      <c r="A48" s="31" t="s">
        <v>85</v>
      </c>
      <c r="B48" s="32" t="s">
        <v>21</v>
      </c>
      <c r="C48" s="32" t="s">
        <v>42</v>
      </c>
      <c r="D48" s="23">
        <v>46042.46875</v>
      </c>
      <c r="E48" s="23">
        <v>46043.464583333327</v>
      </c>
      <c r="F48" s="23">
        <v>46044.464583333327</v>
      </c>
      <c r="G48" s="23">
        <v>46047.464583333327</v>
      </c>
      <c r="H48" s="23">
        <v>46047.354166666657</v>
      </c>
      <c r="I48" s="23">
        <v>46046</v>
      </c>
      <c r="J48" s="34" t="s">
        <v>19</v>
      </c>
      <c r="K48" s="36" t="s">
        <v>86</v>
      </c>
      <c r="L48" s="33">
        <f>(Table8[[#This Row],[Garage_Booked_DateTime]] - Table8[[#This Row],[Defect_Reported_DateTime]])*24</f>
        <v>23.89999999984866</v>
      </c>
      <c r="M48" s="33" t="str">
        <f>IF(Table8[[#This Row],[Vehicle_Type]]&lt;&gt;"Specialised", "Not Applicable", IF(Table8[[#This Row],[Hours_To_Book]]&gt;48, "Yes", "No"))</f>
        <v>Not Applicable</v>
      </c>
      <c r="N48" s="35">
        <f>(Table8[[#This Row],[Garage_Out_Date]]-Table8[[#This Row],[Garage_In_Date]])</f>
        <v>3</v>
      </c>
      <c r="O48" s="35" t="str">
        <f>IF(Table8[[#This Row],[Total_VOR_Days]] &gt;3.5, "Yes", "No")</f>
        <v>No</v>
      </c>
      <c r="P48" s="35" t="str">
        <f>IF(Table8[[#This Row],[Vehicle_Type]] &lt;&gt; "Specialised", "Not Applicable", IF(AND(Table8[[#This Row],[Hours_To_Book]] &lt;=48, Table8[[#This Row],[Total_VOR_Days]] &gt;3.5), "Ineffective", "Effective"))</f>
        <v>Not Applicable</v>
      </c>
      <c r="Q48" s="53">
        <f>IF(OR(Table8[[#This Row],[Garage_In_Date]]="",Table8[[#This Row],[Actual_Repair_Start_Date]]=""),"N/A",(Table8[[#This Row],[Actual_Repair_Start_Date]]-Table8[[#This Row],[Garage_In_Date]])*24)</f>
        <v>69.349999999918509</v>
      </c>
      <c r="R48" s="53" t="str">
        <f>_xlfn.XLOOKUP(Table8[[#This Row],[Vehicle_ID]],Table5[Vehicle_ID],Table5[MOT_Linked],"Not Found")</f>
        <v>No</v>
      </c>
      <c r="S48" s="53"/>
      <c r="T48" s="3"/>
      <c r="U48" s="3"/>
      <c r="V48" s="3"/>
      <c r="W48" s="3"/>
      <c r="X48" s="5"/>
      <c r="Y48" s="7"/>
      <c r="Z48" s="7"/>
      <c r="AA48" s="9"/>
      <c r="AB48" s="9"/>
      <c r="AC48" s="9"/>
      <c r="AD48" s="6"/>
    </row>
    <row r="49" spans="1:30" ht="24.95" customHeight="1">
      <c r="A49" s="37" t="s">
        <v>87</v>
      </c>
      <c r="B49" s="38" t="s">
        <v>21</v>
      </c>
      <c r="C49" s="38" t="s">
        <v>22</v>
      </c>
      <c r="D49" s="26">
        <v>46114.385416666657</v>
      </c>
      <c r="E49" s="26">
        <v>46115.643750000003</v>
      </c>
      <c r="F49" s="26">
        <v>46115.977083333331</v>
      </c>
      <c r="G49" s="26">
        <v>46120.57708333333</v>
      </c>
      <c r="H49" s="26">
        <v>46116.375</v>
      </c>
      <c r="I49" s="26">
        <v>46121</v>
      </c>
      <c r="J49" s="40" t="s">
        <v>33</v>
      </c>
      <c r="K49" s="42" t="s">
        <v>48</v>
      </c>
      <c r="L49" s="39">
        <f>(Table8[[#This Row],[Garage_Booked_DateTime]] - Table8[[#This Row],[Defect_Reported_DateTime]])*24</f>
        <v>30.20000000030268</v>
      </c>
      <c r="M49" s="39" t="str">
        <f>IF(Table8[[#This Row],[Vehicle_Type]]&lt;&gt;"Specialised", "Not Applicable", IF(Table8[[#This Row],[Hours_To_Book]]&gt;48, "Yes", "No"))</f>
        <v>Not Applicable</v>
      </c>
      <c r="N49" s="41">
        <f>(Table8[[#This Row],[Garage_Out_Date]]-Table8[[#This Row],[Garage_In_Date]])</f>
        <v>4.5999999999985448</v>
      </c>
      <c r="O49" s="41" t="str">
        <f>IF(Table8[[#This Row],[Total_VOR_Days]] &gt;3.5, "Yes", "No")</f>
        <v>Yes</v>
      </c>
      <c r="P49" s="41" t="str">
        <f>IF(Table8[[#This Row],[Vehicle_Type]] &lt;&gt; "Specialised", "Not Applicable", IF(AND(Table8[[#This Row],[Hours_To_Book]] &lt;=48, Table8[[#This Row],[Total_VOR_Days]] &gt;3.5), "Ineffective", "Effective"))</f>
        <v>Not Applicable</v>
      </c>
      <c r="Q49" s="53">
        <f>IF(OR(Table8[[#This Row],[Garage_In_Date]]="",Table8[[#This Row],[Actual_Repair_Start_Date]]=""),"N/A",(Table8[[#This Row],[Actual_Repair_Start_Date]]-Table8[[#This Row],[Garage_In_Date]])*24)</f>
        <v>9.5500000000465661</v>
      </c>
      <c r="R49" s="53" t="str">
        <f>_xlfn.XLOOKUP(Table8[[#This Row],[Vehicle_ID]],Table5[Vehicle_ID],Table5[MOT_Linked],"Not Found")</f>
        <v>No</v>
      </c>
      <c r="S49" s="53"/>
      <c r="T49" s="3"/>
      <c r="U49" s="3"/>
      <c r="V49" s="3"/>
      <c r="W49" s="3"/>
      <c r="X49" s="5"/>
      <c r="Y49" s="7"/>
      <c r="Z49" s="7"/>
      <c r="AA49" s="9"/>
      <c r="AB49" s="9"/>
      <c r="AC49" s="9"/>
      <c r="AD49" s="6"/>
    </row>
    <row r="50" spans="1:30" ht="24.95" customHeight="1">
      <c r="A50" s="31" t="s">
        <v>88</v>
      </c>
      <c r="B50" s="32" t="s">
        <v>21</v>
      </c>
      <c r="C50" s="32" t="s">
        <v>15</v>
      </c>
      <c r="D50" s="23">
        <v>46098.458333333343</v>
      </c>
      <c r="E50" s="23">
        <v>46100.883333333331</v>
      </c>
      <c r="F50" s="23">
        <v>46102.883333333331</v>
      </c>
      <c r="G50" s="23">
        <v>46107.583333333343</v>
      </c>
      <c r="H50" s="23">
        <v>46103.385416666657</v>
      </c>
      <c r="I50" s="23">
        <v>46107</v>
      </c>
      <c r="J50" s="34" t="s">
        <v>184</v>
      </c>
      <c r="K50" s="36" t="s">
        <v>89</v>
      </c>
      <c r="L50" s="33">
        <f>(Table8[[#This Row],[Garage_Booked_DateTime]] - Table8[[#This Row],[Defect_Reported_DateTime]])*24</f>
        <v>58.199999999720603</v>
      </c>
      <c r="M50" s="33" t="str">
        <f>IF(Table8[[#This Row],[Vehicle_Type]]&lt;&gt;"Specialised", "Not Applicable", IF(Table8[[#This Row],[Hours_To_Book]]&gt;48, "Yes", "No"))</f>
        <v>Not Applicable</v>
      </c>
      <c r="N50" s="35">
        <f>(Table8[[#This Row],[Garage_Out_Date]]-Table8[[#This Row],[Garage_In_Date]])</f>
        <v>4.7000000000116415</v>
      </c>
      <c r="O50" s="35" t="str">
        <f>IF(Table8[[#This Row],[Total_VOR_Days]] &gt;3.5, "Yes", "No")</f>
        <v>Yes</v>
      </c>
      <c r="P50" s="35" t="str">
        <f>IF(Table8[[#This Row],[Vehicle_Type]] &lt;&gt; "Specialised", "Not Applicable", IF(AND(Table8[[#This Row],[Hours_To_Book]] &lt;=48, Table8[[#This Row],[Total_VOR_Days]] &gt;3.5), "Ineffective", "Effective"))</f>
        <v>Not Applicable</v>
      </c>
      <c r="Q50" s="53">
        <f>IF(OR(Table8[[#This Row],[Garage_In_Date]]="",Table8[[#This Row],[Actual_Repair_Start_Date]]=""),"N/A",(Table8[[#This Row],[Actual_Repair_Start_Date]]-Table8[[#This Row],[Garage_In_Date]])*24)</f>
        <v>12.049999999813735</v>
      </c>
      <c r="R50" s="53" t="str">
        <f>_xlfn.XLOOKUP(Table8[[#This Row],[Vehicle_ID]],Table5[Vehicle_ID],Table5[MOT_Linked],"Not Found")</f>
        <v>Yes</v>
      </c>
      <c r="S50" s="53"/>
      <c r="T50" s="3"/>
      <c r="U50" s="3"/>
      <c r="V50" s="3"/>
      <c r="W50" s="3"/>
      <c r="X50" s="5"/>
      <c r="Y50" s="7"/>
      <c r="Z50" s="7"/>
      <c r="AA50" s="9"/>
      <c r="AB50" s="9"/>
      <c r="AC50" s="9"/>
      <c r="AD50" s="6"/>
    </row>
    <row r="51" spans="1:30" ht="24.95" customHeight="1">
      <c r="A51" s="37" t="s">
        <v>90</v>
      </c>
      <c r="B51" s="38" t="s">
        <v>21</v>
      </c>
      <c r="C51" s="38" t="s">
        <v>42</v>
      </c>
      <c r="D51" s="26">
        <v>46077.541666666657</v>
      </c>
      <c r="E51" s="26">
        <v>46078.066666666673</v>
      </c>
      <c r="F51" s="26">
        <v>46079.566666666673</v>
      </c>
      <c r="G51" s="26">
        <v>46083.566666666673</v>
      </c>
      <c r="H51" s="26">
        <v>46080.354166666657</v>
      </c>
      <c r="I51" s="26">
        <v>46083</v>
      </c>
      <c r="J51" s="40" t="s">
        <v>36</v>
      </c>
      <c r="K51" s="42" t="s">
        <v>44</v>
      </c>
      <c r="L51" s="39">
        <f>(Table8[[#This Row],[Garage_Booked_DateTime]] - Table8[[#This Row],[Defect_Reported_DateTime]])*24</f>
        <v>12.600000000384171</v>
      </c>
      <c r="M51" s="39" t="str">
        <f>IF(Table8[[#This Row],[Vehicle_Type]]&lt;&gt;"Specialised", "Not Applicable", IF(Table8[[#This Row],[Hours_To_Book]]&gt;48, "Yes", "No"))</f>
        <v>Not Applicable</v>
      </c>
      <c r="N51" s="41">
        <f>(Table8[[#This Row],[Garage_Out_Date]]-Table8[[#This Row],[Garage_In_Date]])</f>
        <v>4</v>
      </c>
      <c r="O51" s="41" t="str">
        <f>IF(Table8[[#This Row],[Total_VOR_Days]] &gt;3.5, "Yes", "No")</f>
        <v>Yes</v>
      </c>
      <c r="P51" s="41" t="str">
        <f>IF(Table8[[#This Row],[Vehicle_Type]] &lt;&gt; "Specialised", "Not Applicable", IF(AND(Table8[[#This Row],[Hours_To_Book]] &lt;=48, Table8[[#This Row],[Total_VOR_Days]] &gt;3.5), "Ineffective", "Effective"))</f>
        <v>Not Applicable</v>
      </c>
      <c r="Q51" s="53">
        <f>IF(OR(Table8[[#This Row],[Garage_In_Date]]="",Table8[[#This Row],[Actual_Repair_Start_Date]]=""),"N/A",(Table8[[#This Row],[Actual_Repair_Start_Date]]-Table8[[#This Row],[Garage_In_Date]])*24)</f>
        <v>18.899999999615829</v>
      </c>
      <c r="R51" s="53" t="str">
        <f>_xlfn.XLOOKUP(Table8[[#This Row],[Vehicle_ID]],Table5[Vehicle_ID],Table5[MOT_Linked],"Not Found")</f>
        <v>No</v>
      </c>
      <c r="S51" s="53"/>
      <c r="T51" s="3"/>
      <c r="U51" s="3"/>
      <c r="V51" s="3"/>
      <c r="W51" s="3"/>
      <c r="X51" s="5"/>
      <c r="Y51" s="7"/>
      <c r="Z51" s="7"/>
      <c r="AA51" s="9"/>
      <c r="AB51" s="9"/>
      <c r="AC51" s="9"/>
      <c r="AD51" s="6"/>
    </row>
    <row r="52" spans="1:30" ht="24.95" customHeight="1">
      <c r="A52" s="31" t="s">
        <v>91</v>
      </c>
      <c r="B52" s="32" t="s">
        <v>21</v>
      </c>
      <c r="C52" s="32" t="s">
        <v>22</v>
      </c>
      <c r="D52" s="23">
        <v>46042.59375</v>
      </c>
      <c r="E52" s="23">
        <v>46044.768750000003</v>
      </c>
      <c r="F52" s="23">
        <v>46046.768750000003</v>
      </c>
      <c r="G52" s="23">
        <v>46048.068749999999</v>
      </c>
      <c r="H52" s="23">
        <v>46046.935416666667</v>
      </c>
      <c r="I52" s="23">
        <v>46048</v>
      </c>
      <c r="J52" s="34" t="s">
        <v>19</v>
      </c>
      <c r="K52" s="36" t="s">
        <v>86</v>
      </c>
      <c r="L52" s="33">
        <f>(Table8[[#This Row],[Garage_Booked_DateTime]] - Table8[[#This Row],[Defect_Reported_DateTime]])*24</f>
        <v>52.200000000069849</v>
      </c>
      <c r="M52" s="33" t="str">
        <f>IF(Table8[[#This Row],[Vehicle_Type]]&lt;&gt;"Specialised", "Not Applicable", IF(Table8[[#This Row],[Hours_To_Book]]&gt;48, "Yes", "No"))</f>
        <v>Not Applicable</v>
      </c>
      <c r="N52" s="35">
        <f>(Table8[[#This Row],[Garage_Out_Date]]-Table8[[#This Row],[Garage_In_Date]])</f>
        <v>1.2999999999956344</v>
      </c>
      <c r="O52" s="35" t="str">
        <f>IF(Table8[[#This Row],[Total_VOR_Days]] &gt;3.5, "Yes", "No")</f>
        <v>No</v>
      </c>
      <c r="P52" s="35" t="str">
        <f>IF(Table8[[#This Row],[Vehicle_Type]] &lt;&gt; "Specialised", "Not Applicable", IF(AND(Table8[[#This Row],[Hours_To_Book]] &lt;=48, Table8[[#This Row],[Total_VOR_Days]] &gt;3.5), "Ineffective", "Effective"))</f>
        <v>Not Applicable</v>
      </c>
      <c r="Q52" s="53">
        <f>IF(OR(Table8[[#This Row],[Garage_In_Date]]="",Table8[[#This Row],[Actual_Repair_Start_Date]]=""),"N/A",(Table8[[#This Row],[Actual_Repair_Start_Date]]-Table8[[#This Row],[Garage_In_Date]])*24)</f>
        <v>3.9999999999417923</v>
      </c>
      <c r="R52" s="53" t="str">
        <f>_xlfn.XLOOKUP(Table8[[#This Row],[Vehicle_ID]],Table5[Vehicle_ID],Table5[MOT_Linked],"Not Found")</f>
        <v>No</v>
      </c>
      <c r="S52" s="53"/>
      <c r="T52" s="3"/>
      <c r="U52" s="3"/>
      <c r="V52" s="3"/>
      <c r="W52" s="3"/>
      <c r="X52" s="5"/>
      <c r="Y52" s="7"/>
      <c r="Z52" s="7"/>
      <c r="AA52" s="9"/>
      <c r="AB52" s="9"/>
      <c r="AC52" s="9"/>
      <c r="AD52" s="6"/>
    </row>
    <row r="53" spans="1:30" ht="24.95" customHeight="1">
      <c r="A53" s="37" t="s">
        <v>92</v>
      </c>
      <c r="B53" s="38" t="s">
        <v>21</v>
      </c>
      <c r="C53" s="38" t="s">
        <v>26</v>
      </c>
      <c r="D53" s="26">
        <v>46064.458333333343</v>
      </c>
      <c r="E53" s="26">
        <v>46066.570833333331</v>
      </c>
      <c r="F53" s="26">
        <v>46066.904166666667</v>
      </c>
      <c r="G53" s="26">
        <v>46072.20416666667</v>
      </c>
      <c r="H53" s="26">
        <v>46067.385416666657</v>
      </c>
      <c r="I53" s="26">
        <v>46071</v>
      </c>
      <c r="J53" s="40" t="s">
        <v>33</v>
      </c>
      <c r="K53" s="42" t="s">
        <v>89</v>
      </c>
      <c r="L53" s="39">
        <f>(Table8[[#This Row],[Garage_Booked_DateTime]] - Table8[[#This Row],[Defect_Reported_DateTime]])*24</f>
        <v>50.699999999720603</v>
      </c>
      <c r="M53" s="39" t="str">
        <f>IF(Table8[[#This Row],[Vehicle_Type]]&lt;&gt;"Specialised", "Not Applicable", IF(Table8[[#This Row],[Hours_To_Book]]&gt;48, "Yes", "No"))</f>
        <v>Not Applicable</v>
      </c>
      <c r="N53" s="41">
        <f>(Table8[[#This Row],[Garage_Out_Date]]-Table8[[#This Row],[Garage_In_Date]])</f>
        <v>5.3000000000029104</v>
      </c>
      <c r="O53" s="41" t="str">
        <f>IF(Table8[[#This Row],[Total_VOR_Days]] &gt;3.5, "Yes", "No")</f>
        <v>Yes</v>
      </c>
      <c r="P53" s="41" t="str">
        <f>IF(Table8[[#This Row],[Vehicle_Type]] &lt;&gt; "Specialised", "Not Applicable", IF(AND(Table8[[#This Row],[Hours_To_Book]] &lt;=48, Table8[[#This Row],[Total_VOR_Days]] &gt;3.5), "Ineffective", "Effective"))</f>
        <v>Not Applicable</v>
      </c>
      <c r="Q53" s="53">
        <f>IF(OR(Table8[[#This Row],[Garage_In_Date]]="",Table8[[#This Row],[Actual_Repair_Start_Date]]=""),"N/A",(Table8[[#This Row],[Actual_Repair_Start_Date]]-Table8[[#This Row],[Garage_In_Date]])*24)</f>
        <v>11.549999999755528</v>
      </c>
      <c r="R53" s="53" t="str">
        <f>_xlfn.XLOOKUP(Table8[[#This Row],[Vehicle_ID]],Table5[Vehicle_ID],Table5[MOT_Linked],"Not Found")</f>
        <v>No</v>
      </c>
      <c r="S53" s="53"/>
      <c r="T53" s="3"/>
      <c r="U53" s="3"/>
      <c r="V53" s="3"/>
      <c r="W53" s="3"/>
      <c r="X53" s="5"/>
      <c r="Y53" s="7"/>
      <c r="Z53" s="7"/>
      <c r="AA53" s="9"/>
      <c r="AB53" s="9"/>
      <c r="AC53" s="9"/>
      <c r="AD53" s="6"/>
    </row>
    <row r="54" spans="1:30" ht="24.95" customHeight="1">
      <c r="A54" s="31" t="s">
        <v>93</v>
      </c>
      <c r="B54" s="32" t="s">
        <v>21</v>
      </c>
      <c r="C54" s="32" t="s">
        <v>30</v>
      </c>
      <c r="D54" s="23">
        <v>46085.479166666657</v>
      </c>
      <c r="E54" s="23">
        <v>46087.308333333327</v>
      </c>
      <c r="F54" s="23">
        <v>46087.64166666667</v>
      </c>
      <c r="G54" s="23">
        <v>46089.64166666667</v>
      </c>
      <c r="H54" s="23">
        <v>46087.808333333327</v>
      </c>
      <c r="I54" s="23">
        <v>46089</v>
      </c>
      <c r="J54" s="34" t="s">
        <v>19</v>
      </c>
      <c r="K54" s="36" t="s">
        <v>38</v>
      </c>
      <c r="L54" s="33">
        <f>(Table8[[#This Row],[Garage_Booked_DateTime]] - Table8[[#This Row],[Defect_Reported_DateTime]])*24</f>
        <v>43.900000000081491</v>
      </c>
      <c r="M54" s="33" t="str">
        <f>IF(Table8[[#This Row],[Vehicle_Type]]&lt;&gt;"Specialised", "Not Applicable", IF(Table8[[#This Row],[Hours_To_Book]]&gt;48, "Yes", "No"))</f>
        <v>Not Applicable</v>
      </c>
      <c r="N54" s="35">
        <f>(Table8[[#This Row],[Garage_Out_Date]]-Table8[[#This Row],[Garage_In_Date]])</f>
        <v>2</v>
      </c>
      <c r="O54" s="35" t="str">
        <f>IF(Table8[[#This Row],[Total_VOR_Days]] &gt;3.5, "Yes", "No")</f>
        <v>No</v>
      </c>
      <c r="P54" s="35" t="str">
        <f>IF(Table8[[#This Row],[Vehicle_Type]] &lt;&gt; "Specialised", "Not Applicable", IF(AND(Table8[[#This Row],[Hours_To_Book]] &lt;=48, Table8[[#This Row],[Total_VOR_Days]] &gt;3.5), "Ineffective", "Effective"))</f>
        <v>Not Applicable</v>
      </c>
      <c r="Q54" s="53">
        <f>IF(OR(Table8[[#This Row],[Garage_In_Date]]="",Table8[[#This Row],[Actual_Repair_Start_Date]]=""),"N/A",(Table8[[#This Row],[Actual_Repair_Start_Date]]-Table8[[#This Row],[Garage_In_Date]])*24)</f>
        <v>3.9999999997671694</v>
      </c>
      <c r="R54" s="53" t="str">
        <f>_xlfn.XLOOKUP(Table8[[#This Row],[Vehicle_ID]],Table5[Vehicle_ID],Table5[MOT_Linked],"Not Found")</f>
        <v>No</v>
      </c>
      <c r="S54" s="53"/>
      <c r="T54" s="3"/>
      <c r="U54" s="3"/>
      <c r="V54" s="3"/>
      <c r="W54" s="3"/>
      <c r="X54" s="5"/>
      <c r="Y54" s="7"/>
      <c r="Z54" s="7"/>
      <c r="AA54" s="9"/>
      <c r="AB54" s="9"/>
      <c r="AC54" s="9"/>
      <c r="AD54" s="6"/>
    </row>
    <row r="55" spans="1:30" ht="24.95" customHeight="1">
      <c r="A55" s="37" t="s">
        <v>94</v>
      </c>
      <c r="B55" s="38" t="s">
        <v>14</v>
      </c>
      <c r="C55" s="38" t="s">
        <v>222</v>
      </c>
      <c r="D55" s="26">
        <v>46085.677083333343</v>
      </c>
      <c r="E55" s="26">
        <v>46087.502083333333</v>
      </c>
      <c r="F55" s="26">
        <v>46089.502083333333</v>
      </c>
      <c r="G55" s="26">
        <v>46090.602083333331</v>
      </c>
      <c r="H55" s="26">
        <v>46090.333333333343</v>
      </c>
      <c r="I55" s="26">
        <v>46089</v>
      </c>
      <c r="J55" s="40" t="s">
        <v>19</v>
      </c>
      <c r="K55" s="42" t="s">
        <v>48</v>
      </c>
      <c r="L55" s="39">
        <f>(Table8[[#This Row],[Garage_Booked_DateTime]] - Table8[[#This Row],[Defect_Reported_DateTime]])*24</f>
        <v>43.799999999755528</v>
      </c>
      <c r="M55" s="39" t="str">
        <f>IF(Table8[[#This Row],[Vehicle_Type]]&lt;&gt;"Specialised", "Not Applicable", IF(Table8[[#This Row],[Hours_To_Book]]&gt;48, "Yes", "No"))</f>
        <v>No</v>
      </c>
      <c r="N55" s="41">
        <f>(Table8[[#This Row],[Garage_Out_Date]]-Table8[[#This Row],[Garage_In_Date]])</f>
        <v>1.0999999999985448</v>
      </c>
      <c r="O55" s="41" t="str">
        <f>IF(Table8[[#This Row],[Total_VOR_Days]] &gt;3.5, "Yes", "No")</f>
        <v>No</v>
      </c>
      <c r="P55" s="41" t="str">
        <f>IF(Table8[[#This Row],[Vehicle_Type]] &lt;&gt; "Specialised", "Not Applicable", IF(AND(Table8[[#This Row],[Hours_To_Book]] &lt;=48, Table8[[#This Row],[Total_VOR_Days]] &gt;3.5), "Ineffective", "Effective"))</f>
        <v>Effective</v>
      </c>
      <c r="Q55" s="53">
        <f>IF(OR(Table8[[#This Row],[Garage_In_Date]]="",Table8[[#This Row],[Actual_Repair_Start_Date]]=""),"N/A",(Table8[[#This Row],[Actual_Repair_Start_Date]]-Table8[[#This Row],[Garage_In_Date]])*24)</f>
        <v>19.950000000244472</v>
      </c>
      <c r="R55" s="53" t="str">
        <f>_xlfn.XLOOKUP(Table8[[#This Row],[Vehicle_ID]],Table5[Vehicle_ID],Table5[MOT_Linked],"Not Found")</f>
        <v>Yes</v>
      </c>
      <c r="S55" s="53"/>
      <c r="T55" s="3"/>
      <c r="U55" s="3"/>
      <c r="V55" s="3"/>
      <c r="W55" s="3"/>
      <c r="X55" s="5"/>
      <c r="Y55" s="7"/>
      <c r="Z55" s="7"/>
      <c r="AA55" s="9"/>
      <c r="AB55" s="9"/>
      <c r="AC55" s="9"/>
      <c r="AD55" s="6"/>
    </row>
    <row r="56" spans="1:30" ht="24.95" customHeight="1">
      <c r="A56" s="31" t="s">
        <v>95</v>
      </c>
      <c r="B56" s="32" t="s">
        <v>14</v>
      </c>
      <c r="C56" s="32" t="s">
        <v>26</v>
      </c>
      <c r="D56" s="23">
        <v>46070.645833333343</v>
      </c>
      <c r="E56" s="23">
        <v>46071.9375</v>
      </c>
      <c r="F56" s="23">
        <v>46072.9375</v>
      </c>
      <c r="G56" s="23">
        <v>46079.637499999997</v>
      </c>
      <c r="H56" s="23">
        <v>46073.385416666657</v>
      </c>
      <c r="I56" s="23">
        <v>46078</v>
      </c>
      <c r="J56" s="34" t="s">
        <v>184</v>
      </c>
      <c r="K56" s="36" t="s">
        <v>48</v>
      </c>
      <c r="L56" s="33">
        <f>(Table8[[#This Row],[Garage_Booked_DateTime]] - Table8[[#This Row],[Defect_Reported_DateTime]])*24</f>
        <v>30.999999999767169</v>
      </c>
      <c r="M56" s="33" t="str">
        <f>IF(Table8[[#This Row],[Vehicle_Type]]&lt;&gt;"Specialised", "Not Applicable", IF(Table8[[#This Row],[Hours_To_Book]]&gt;48, "Yes", "No"))</f>
        <v>No</v>
      </c>
      <c r="N56" s="35">
        <f>(Table8[[#This Row],[Garage_Out_Date]]-Table8[[#This Row],[Garage_In_Date]])</f>
        <v>6.6999999999970896</v>
      </c>
      <c r="O56" s="35" t="str">
        <f>IF(Table8[[#This Row],[Total_VOR_Days]] &gt;3.5, "Yes", "No")</f>
        <v>Yes</v>
      </c>
      <c r="P56" s="35" t="str">
        <f>IF(Table8[[#This Row],[Vehicle_Type]] &lt;&gt; "Specialised", "Not Applicable", IF(AND(Table8[[#This Row],[Hours_To_Book]] &lt;=48, Table8[[#This Row],[Total_VOR_Days]] &gt;3.5), "Ineffective", "Effective"))</f>
        <v>Ineffective</v>
      </c>
      <c r="Q56" s="53">
        <f>IF(OR(Table8[[#This Row],[Garage_In_Date]]="",Table8[[#This Row],[Actual_Repair_Start_Date]]=""),"N/A",(Table8[[#This Row],[Actual_Repair_Start_Date]]-Table8[[#This Row],[Garage_In_Date]])*24)</f>
        <v>10.749999999767169</v>
      </c>
      <c r="R56" s="53" t="str">
        <f>_xlfn.XLOOKUP(Table8[[#This Row],[Vehicle_ID]],Table5[Vehicle_ID],Table5[MOT_Linked],"Not Found")</f>
        <v>No</v>
      </c>
      <c r="S56" s="53"/>
      <c r="T56" s="3"/>
      <c r="U56" s="3"/>
      <c r="V56" s="3"/>
      <c r="W56" s="3"/>
      <c r="X56" s="5"/>
      <c r="Y56" s="7"/>
      <c r="Z56" s="7"/>
      <c r="AA56" s="9"/>
      <c r="AB56" s="9"/>
      <c r="AC56" s="9"/>
      <c r="AD56" s="6"/>
    </row>
    <row r="57" spans="1:30" ht="24.95" customHeight="1">
      <c r="A57" s="37" t="s">
        <v>96</v>
      </c>
      <c r="B57" s="38" t="s">
        <v>21</v>
      </c>
      <c r="C57" s="38" t="s">
        <v>26</v>
      </c>
      <c r="D57" s="26">
        <v>46038.677083333343</v>
      </c>
      <c r="E57" s="26">
        <v>46040.943749999999</v>
      </c>
      <c r="F57" s="26">
        <v>46041.11041666667</v>
      </c>
      <c r="G57" s="26">
        <v>46045.810416666667</v>
      </c>
      <c r="H57" s="26">
        <v>46041.11041666667</v>
      </c>
      <c r="I57" s="26">
        <v>46046</v>
      </c>
      <c r="J57" s="40" t="s">
        <v>28</v>
      </c>
      <c r="K57" s="42" t="s">
        <v>38</v>
      </c>
      <c r="L57" s="39">
        <f>(Table8[[#This Row],[Garage_Booked_DateTime]] - Table8[[#This Row],[Defect_Reported_DateTime]])*24</f>
        <v>54.399999999732245</v>
      </c>
      <c r="M57" s="39" t="str">
        <f>IF(Table8[[#This Row],[Vehicle_Type]]&lt;&gt;"Specialised", "Not Applicable", IF(Table8[[#This Row],[Hours_To_Book]]&gt;48, "Yes", "No"))</f>
        <v>Not Applicable</v>
      </c>
      <c r="N57" s="41">
        <f>(Table8[[#This Row],[Garage_Out_Date]]-Table8[[#This Row],[Garage_In_Date]])</f>
        <v>4.6999999999970896</v>
      </c>
      <c r="O57" s="41" t="str">
        <f>IF(Table8[[#This Row],[Total_VOR_Days]] &gt;3.5, "Yes", "No")</f>
        <v>Yes</v>
      </c>
      <c r="P57" s="41" t="str">
        <f>IF(Table8[[#This Row],[Vehicle_Type]] &lt;&gt; "Specialised", "Not Applicable", IF(AND(Table8[[#This Row],[Hours_To_Book]] &lt;=48, Table8[[#This Row],[Total_VOR_Days]] &gt;3.5), "Ineffective", "Effective"))</f>
        <v>Not Applicable</v>
      </c>
      <c r="Q57" s="53">
        <f>IF(OR(Table8[[#This Row],[Garage_In_Date]]="",Table8[[#This Row],[Actual_Repair_Start_Date]]=""),"N/A",(Table8[[#This Row],[Actual_Repair_Start_Date]]-Table8[[#This Row],[Garage_In_Date]])*24)</f>
        <v>0</v>
      </c>
      <c r="R57" s="53" t="str">
        <f>_xlfn.XLOOKUP(Table8[[#This Row],[Vehicle_ID]],Table5[Vehicle_ID],Table5[MOT_Linked],"Not Found")</f>
        <v>No</v>
      </c>
      <c r="S57" s="53"/>
      <c r="T57" s="3"/>
      <c r="U57" s="3"/>
      <c r="V57" s="3"/>
      <c r="W57" s="3"/>
      <c r="X57" s="5"/>
      <c r="Y57" s="7"/>
      <c r="Z57" s="7"/>
      <c r="AA57" s="9"/>
      <c r="AB57" s="9"/>
      <c r="AC57" s="9"/>
      <c r="AD57" s="6"/>
    </row>
    <row r="58" spans="1:30" ht="24.95" customHeight="1">
      <c r="A58" s="31" t="s">
        <v>97</v>
      </c>
      <c r="B58" s="32" t="s">
        <v>21</v>
      </c>
      <c r="C58" s="32" t="s">
        <v>30</v>
      </c>
      <c r="D58" s="23">
        <v>46060.479166666657</v>
      </c>
      <c r="E58" s="23">
        <v>46063.804166666669</v>
      </c>
      <c r="F58" s="23">
        <v>46063.970833333333</v>
      </c>
      <c r="G58" s="23">
        <v>46067.17083333333</v>
      </c>
      <c r="H58" s="23">
        <v>46066.354166666657</v>
      </c>
      <c r="I58" s="23">
        <v>46068</v>
      </c>
      <c r="J58" s="34" t="s">
        <v>19</v>
      </c>
      <c r="K58" s="36" t="s">
        <v>35</v>
      </c>
      <c r="L58" s="33">
        <f>(Table8[[#This Row],[Garage_Booked_DateTime]] - Table8[[#This Row],[Defect_Reported_DateTime]])*24</f>
        <v>79.800000000279397</v>
      </c>
      <c r="M58" s="33" t="str">
        <f>IF(Table8[[#This Row],[Vehicle_Type]]&lt;&gt;"Specialised", "Not Applicable", IF(Table8[[#This Row],[Hours_To_Book]]&gt;48, "Yes", "No"))</f>
        <v>Not Applicable</v>
      </c>
      <c r="N58" s="35">
        <f>(Table8[[#This Row],[Garage_Out_Date]]-Table8[[#This Row],[Garage_In_Date]])</f>
        <v>3.1999999999970896</v>
      </c>
      <c r="O58" s="35" t="str">
        <f>IF(Table8[[#This Row],[Total_VOR_Days]] &gt;3.5, "Yes", "No")</f>
        <v>No</v>
      </c>
      <c r="P58" s="35" t="str">
        <f>IF(Table8[[#This Row],[Vehicle_Type]] &lt;&gt; "Specialised", "Not Applicable", IF(AND(Table8[[#This Row],[Hours_To_Book]] &lt;=48, Table8[[#This Row],[Total_VOR_Days]] &gt;3.5), "Ineffective", "Effective"))</f>
        <v>Not Applicable</v>
      </c>
      <c r="Q58" s="53">
        <f>IF(OR(Table8[[#This Row],[Garage_In_Date]]="",Table8[[#This Row],[Actual_Repair_Start_Date]]=""),"N/A",(Table8[[#This Row],[Actual_Repair_Start_Date]]-Table8[[#This Row],[Garage_In_Date]])*24)</f>
        <v>57.199999999778811</v>
      </c>
      <c r="R58" s="53" t="str">
        <f>_xlfn.XLOOKUP(Table8[[#This Row],[Vehicle_ID]],Table5[Vehicle_ID],Table5[MOT_Linked],"Not Found")</f>
        <v>Yes</v>
      </c>
      <c r="S58" s="53"/>
      <c r="T58" s="3"/>
      <c r="U58" s="3"/>
      <c r="V58" s="3"/>
      <c r="W58" s="3"/>
      <c r="X58" s="5"/>
      <c r="Y58" s="7"/>
      <c r="Z58" s="7"/>
      <c r="AA58" s="9"/>
      <c r="AB58" s="9"/>
      <c r="AC58" s="9"/>
      <c r="AD58" s="6"/>
    </row>
    <row r="59" spans="1:30" ht="24.95" customHeight="1">
      <c r="A59" s="37" t="s">
        <v>98</v>
      </c>
      <c r="B59" s="38" t="s">
        <v>14</v>
      </c>
      <c r="C59" s="38" t="s">
        <v>42</v>
      </c>
      <c r="D59" s="26">
        <v>46085.375</v>
      </c>
      <c r="E59" s="26">
        <v>46087.10833333333</v>
      </c>
      <c r="F59" s="26">
        <v>46088.60833333333</v>
      </c>
      <c r="G59" s="26">
        <v>46092.308333333327</v>
      </c>
      <c r="H59" s="26">
        <v>46089.385416666657</v>
      </c>
      <c r="I59" s="26">
        <v>46091</v>
      </c>
      <c r="J59" s="40" t="s">
        <v>184</v>
      </c>
      <c r="K59" s="42" t="s">
        <v>38</v>
      </c>
      <c r="L59" s="39">
        <f>(Table8[[#This Row],[Garage_Booked_DateTime]] - Table8[[#This Row],[Defect_Reported_DateTime]])*24</f>
        <v>41.599999999918509</v>
      </c>
      <c r="M59" s="39" t="str">
        <f>IF(Table8[[#This Row],[Vehicle_Type]]&lt;&gt;"Specialised", "Not Applicable", IF(Table8[[#This Row],[Hours_To_Book]]&gt;48, "Yes", "No"))</f>
        <v>No</v>
      </c>
      <c r="N59" s="41">
        <f>(Table8[[#This Row],[Garage_Out_Date]]-Table8[[#This Row],[Garage_In_Date]])</f>
        <v>3.6999999999970896</v>
      </c>
      <c r="O59" s="41" t="str">
        <f>IF(Table8[[#This Row],[Total_VOR_Days]] &gt;3.5, "Yes", "No")</f>
        <v>Yes</v>
      </c>
      <c r="P59" s="41" t="str">
        <f>IF(Table8[[#This Row],[Vehicle_Type]] &lt;&gt; "Specialised", "Not Applicable", IF(AND(Table8[[#This Row],[Hours_To_Book]] &lt;=48, Table8[[#This Row],[Total_VOR_Days]] &gt;3.5), "Ineffective", "Effective"))</f>
        <v>Ineffective</v>
      </c>
      <c r="Q59" s="53">
        <f>IF(OR(Table8[[#This Row],[Garage_In_Date]]="",Table8[[#This Row],[Actual_Repair_Start_Date]]=""),"N/A",(Table8[[#This Row],[Actual_Repair_Start_Date]]-Table8[[#This Row],[Garage_In_Date]])*24)</f>
        <v>18.64999999984866</v>
      </c>
      <c r="R59" s="53" t="str">
        <f>_xlfn.XLOOKUP(Table8[[#This Row],[Vehicle_ID]],Table5[Vehicle_ID],Table5[MOT_Linked],"Not Found")</f>
        <v>No</v>
      </c>
      <c r="S59" s="53"/>
      <c r="T59" s="3"/>
      <c r="U59" s="3"/>
      <c r="V59" s="3"/>
      <c r="W59" s="3"/>
      <c r="X59" s="5"/>
      <c r="Y59" s="7"/>
      <c r="Z59" s="7"/>
      <c r="AA59" s="9"/>
      <c r="AB59" s="9"/>
      <c r="AC59" s="9"/>
      <c r="AD59" s="6"/>
    </row>
    <row r="60" spans="1:30" ht="24.95" customHeight="1">
      <c r="A60" s="31" t="s">
        <v>99</v>
      </c>
      <c r="B60" s="32" t="s">
        <v>21</v>
      </c>
      <c r="C60" s="32" t="s">
        <v>15</v>
      </c>
      <c r="D60" s="23">
        <v>46074.625</v>
      </c>
      <c r="E60" s="23">
        <v>46077.9375</v>
      </c>
      <c r="F60" s="23">
        <v>46079.4375</v>
      </c>
      <c r="G60" s="23">
        <v>46083.137499999997</v>
      </c>
      <c r="H60" s="23">
        <v>46079.4375</v>
      </c>
      <c r="I60" s="23">
        <v>46083</v>
      </c>
      <c r="J60" s="34" t="s">
        <v>28</v>
      </c>
      <c r="K60" s="36" t="s">
        <v>38</v>
      </c>
      <c r="L60" s="33">
        <f>(Table8[[#This Row],[Garage_Booked_DateTime]] - Table8[[#This Row],[Defect_Reported_DateTime]])*24</f>
        <v>79.5</v>
      </c>
      <c r="M60" s="33" t="str">
        <f>IF(Table8[[#This Row],[Vehicle_Type]]&lt;&gt;"Specialised", "Not Applicable", IF(Table8[[#This Row],[Hours_To_Book]]&gt;48, "Yes", "No"))</f>
        <v>Not Applicable</v>
      </c>
      <c r="N60" s="35">
        <f>(Table8[[#This Row],[Garage_Out_Date]]-Table8[[#This Row],[Garage_In_Date]])</f>
        <v>3.6999999999970896</v>
      </c>
      <c r="O60" s="35" t="str">
        <f>IF(Table8[[#This Row],[Total_VOR_Days]] &gt;3.5, "Yes", "No")</f>
        <v>Yes</v>
      </c>
      <c r="P60" s="35" t="str">
        <f>IF(Table8[[#This Row],[Vehicle_Type]] &lt;&gt; "Specialised", "Not Applicable", IF(AND(Table8[[#This Row],[Hours_To_Book]] &lt;=48, Table8[[#This Row],[Total_VOR_Days]] &gt;3.5), "Ineffective", "Effective"))</f>
        <v>Not Applicable</v>
      </c>
      <c r="Q60" s="53">
        <f>IF(OR(Table8[[#This Row],[Garage_In_Date]]="",Table8[[#This Row],[Actual_Repair_Start_Date]]=""),"N/A",(Table8[[#This Row],[Actual_Repair_Start_Date]]-Table8[[#This Row],[Garage_In_Date]])*24)</f>
        <v>0</v>
      </c>
      <c r="R60" s="53" t="str">
        <f>_xlfn.XLOOKUP(Table8[[#This Row],[Vehicle_ID]],Table5[Vehicle_ID],Table5[MOT_Linked],"Not Found")</f>
        <v>No</v>
      </c>
      <c r="S60" s="53"/>
      <c r="T60" s="3"/>
      <c r="U60" s="3"/>
      <c r="V60" s="3"/>
      <c r="W60" s="3"/>
      <c r="X60" s="5"/>
      <c r="Y60" s="7"/>
      <c r="Z60" s="7"/>
      <c r="AA60" s="9"/>
      <c r="AB60" s="9"/>
      <c r="AC60" s="9"/>
      <c r="AD60" s="6"/>
    </row>
    <row r="61" spans="1:30" ht="24.95" customHeight="1">
      <c r="A61" s="37" t="s">
        <v>100</v>
      </c>
      <c r="B61" s="38" t="s">
        <v>21</v>
      </c>
      <c r="C61" s="38" t="s">
        <v>42</v>
      </c>
      <c r="D61" s="26">
        <v>46120.59375</v>
      </c>
      <c r="E61" s="26">
        <v>46122.664583333331</v>
      </c>
      <c r="F61" s="26">
        <v>46124.164583333331</v>
      </c>
      <c r="G61" s="26">
        <v>46125.164583333331</v>
      </c>
      <c r="H61" s="26">
        <v>46124.164583333331</v>
      </c>
      <c r="I61" s="26">
        <v>46126</v>
      </c>
      <c r="J61" s="40" t="s">
        <v>19</v>
      </c>
      <c r="K61" s="42" t="s">
        <v>31</v>
      </c>
      <c r="L61" s="39">
        <f>(Table8[[#This Row],[Garage_Booked_DateTime]] - Table8[[#This Row],[Defect_Reported_DateTime]])*24</f>
        <v>49.699999999953434</v>
      </c>
      <c r="M61" s="39" t="str">
        <f>IF(Table8[[#This Row],[Vehicle_Type]]&lt;&gt;"Specialised", "Not Applicable", IF(Table8[[#This Row],[Hours_To_Book]]&gt;48, "Yes", "No"))</f>
        <v>Not Applicable</v>
      </c>
      <c r="N61" s="41">
        <f>(Table8[[#This Row],[Garage_Out_Date]]-Table8[[#This Row],[Garage_In_Date]])</f>
        <v>1</v>
      </c>
      <c r="O61" s="41" t="str">
        <f>IF(Table8[[#This Row],[Total_VOR_Days]] &gt;3.5, "Yes", "No")</f>
        <v>No</v>
      </c>
      <c r="P61" s="41" t="str">
        <f>IF(Table8[[#This Row],[Vehicle_Type]] &lt;&gt; "Specialised", "Not Applicable", IF(AND(Table8[[#This Row],[Hours_To_Book]] &lt;=48, Table8[[#This Row],[Total_VOR_Days]] &gt;3.5), "Ineffective", "Effective"))</f>
        <v>Not Applicable</v>
      </c>
      <c r="Q61" s="53">
        <f>IF(OR(Table8[[#This Row],[Garage_In_Date]]="",Table8[[#This Row],[Actual_Repair_Start_Date]]=""),"N/A",(Table8[[#This Row],[Actual_Repair_Start_Date]]-Table8[[#This Row],[Garage_In_Date]])*24)</f>
        <v>0</v>
      </c>
      <c r="R61" s="53" t="str">
        <f>_xlfn.XLOOKUP(Table8[[#This Row],[Vehicle_ID]],Table5[Vehicle_ID],Table5[MOT_Linked],"Not Found")</f>
        <v>No</v>
      </c>
      <c r="S61" s="53"/>
      <c r="T61" s="3"/>
      <c r="U61" s="3"/>
      <c r="V61" s="3"/>
      <c r="W61" s="3"/>
      <c r="X61" s="5"/>
      <c r="Y61" s="7"/>
      <c r="Z61" s="7"/>
      <c r="AA61" s="9"/>
      <c r="AB61" s="9"/>
      <c r="AC61" s="9"/>
      <c r="AD61" s="6"/>
    </row>
    <row r="62" spans="1:30" ht="24.95" customHeight="1">
      <c r="A62" s="31" t="s">
        <v>101</v>
      </c>
      <c r="B62" s="32" t="s">
        <v>21</v>
      </c>
      <c r="C62" s="32" t="s">
        <v>42</v>
      </c>
      <c r="D62" s="23">
        <v>46117.385416666657</v>
      </c>
      <c r="E62" s="23">
        <v>46121.04791666667</v>
      </c>
      <c r="F62" s="23">
        <v>46123.04791666667</v>
      </c>
      <c r="G62" s="23">
        <v>46127.947916666657</v>
      </c>
      <c r="H62" s="23">
        <v>46123.416666666657</v>
      </c>
      <c r="I62" s="23">
        <v>46127</v>
      </c>
      <c r="J62" s="34" t="s">
        <v>28</v>
      </c>
      <c r="K62" s="36" t="s">
        <v>44</v>
      </c>
      <c r="L62" s="33">
        <f>(Table8[[#This Row],[Garage_Booked_DateTime]] - Table8[[#This Row],[Defect_Reported_DateTime]])*24</f>
        <v>87.900000000314321</v>
      </c>
      <c r="M62" s="33" t="str">
        <f>IF(Table8[[#This Row],[Vehicle_Type]]&lt;&gt;"Specialised", "Not Applicable", IF(Table8[[#This Row],[Hours_To_Book]]&gt;48, "Yes", "No"))</f>
        <v>Not Applicable</v>
      </c>
      <c r="N62" s="35">
        <f>(Table8[[#This Row],[Garage_Out_Date]]-Table8[[#This Row],[Garage_In_Date]])</f>
        <v>4.8999999999869033</v>
      </c>
      <c r="O62" s="35" t="str">
        <f>IF(Table8[[#This Row],[Total_VOR_Days]] &gt;3.5, "Yes", "No")</f>
        <v>Yes</v>
      </c>
      <c r="P62" s="35" t="str">
        <f>IF(Table8[[#This Row],[Vehicle_Type]] &lt;&gt; "Specialised", "Not Applicable", IF(AND(Table8[[#This Row],[Hours_To_Book]] &lt;=48, Table8[[#This Row],[Total_VOR_Days]] &gt;3.5), "Ineffective", "Effective"))</f>
        <v>Not Applicable</v>
      </c>
      <c r="Q62" s="53">
        <f>IF(OR(Table8[[#This Row],[Garage_In_Date]]="",Table8[[#This Row],[Actual_Repair_Start_Date]]=""),"N/A",(Table8[[#This Row],[Actual_Repair_Start_Date]]-Table8[[#This Row],[Garage_In_Date]])*24)</f>
        <v>8.8499999996856786</v>
      </c>
      <c r="R62" s="53" t="str">
        <f>_xlfn.XLOOKUP(Table8[[#This Row],[Vehicle_ID]],Table5[Vehicle_ID],Table5[MOT_Linked],"Not Found")</f>
        <v>Yes</v>
      </c>
      <c r="S62" s="53"/>
      <c r="T62" s="3"/>
      <c r="U62" s="3"/>
      <c r="V62" s="3"/>
      <c r="W62" s="3"/>
      <c r="X62" s="5"/>
      <c r="Y62" s="7"/>
      <c r="Z62" s="7"/>
      <c r="AA62" s="9"/>
      <c r="AB62" s="9"/>
      <c r="AC62" s="9"/>
      <c r="AD62" s="6"/>
    </row>
    <row r="63" spans="1:30" ht="24.95" customHeight="1">
      <c r="A63" s="37" t="s">
        <v>102</v>
      </c>
      <c r="B63" s="38" t="s">
        <v>21</v>
      </c>
      <c r="C63" s="38" t="s">
        <v>22</v>
      </c>
      <c r="D63" s="26">
        <v>46099.645833333343</v>
      </c>
      <c r="E63" s="26">
        <v>46103.245833333327</v>
      </c>
      <c r="F63" s="26">
        <v>46103.245833333327</v>
      </c>
      <c r="G63" s="26">
        <v>46107.845833333333</v>
      </c>
      <c r="H63" s="26">
        <v>46103.245833333327</v>
      </c>
      <c r="I63" s="26">
        <v>46106</v>
      </c>
      <c r="J63" s="40" t="s">
        <v>180</v>
      </c>
      <c r="K63" s="42" t="s">
        <v>86</v>
      </c>
      <c r="L63" s="39">
        <f>(Table8[[#This Row],[Garage_Booked_DateTime]] - Table8[[#This Row],[Defect_Reported_DateTime]])*24</f>
        <v>86.399999999615829</v>
      </c>
      <c r="M63" s="39" t="str">
        <f>IF(Table8[[#This Row],[Vehicle_Type]]&lt;&gt;"Specialised", "Not Applicable", IF(Table8[[#This Row],[Hours_To_Book]]&gt;48, "Yes", "No"))</f>
        <v>Not Applicable</v>
      </c>
      <c r="N63" s="41">
        <f>(Table8[[#This Row],[Garage_Out_Date]]-Table8[[#This Row],[Garage_In_Date]])</f>
        <v>4.6000000000058208</v>
      </c>
      <c r="O63" s="41" t="str">
        <f>IF(Table8[[#This Row],[Total_VOR_Days]] &gt;3.5, "Yes", "No")</f>
        <v>Yes</v>
      </c>
      <c r="P63" s="41" t="str">
        <f>IF(Table8[[#This Row],[Vehicle_Type]] &lt;&gt; "Specialised", "Not Applicable", IF(AND(Table8[[#This Row],[Hours_To_Book]] &lt;=48, Table8[[#This Row],[Total_VOR_Days]] &gt;3.5), "Ineffective", "Effective"))</f>
        <v>Not Applicable</v>
      </c>
      <c r="Q63" s="53">
        <f>IF(OR(Table8[[#This Row],[Garage_In_Date]]="",Table8[[#This Row],[Actual_Repair_Start_Date]]=""),"N/A",(Table8[[#This Row],[Actual_Repair_Start_Date]]-Table8[[#This Row],[Garage_In_Date]])*24)</f>
        <v>0</v>
      </c>
      <c r="R63" s="53" t="str">
        <f>_xlfn.XLOOKUP(Table8[[#This Row],[Vehicle_ID]],Table5[Vehicle_ID],Table5[MOT_Linked],"Not Found")</f>
        <v>No</v>
      </c>
      <c r="S63" s="53"/>
      <c r="T63" s="3"/>
      <c r="U63" s="3"/>
      <c r="V63" s="3"/>
      <c r="W63" s="3"/>
      <c r="X63" s="5"/>
      <c r="Y63" s="7"/>
      <c r="Z63" s="7"/>
      <c r="AA63" s="9"/>
      <c r="AB63" s="9"/>
      <c r="AC63" s="9"/>
      <c r="AD63" s="6"/>
    </row>
    <row r="64" spans="1:30" ht="24.95" customHeight="1">
      <c r="A64" s="31" t="s">
        <v>103</v>
      </c>
      <c r="B64" s="32" t="s">
        <v>21</v>
      </c>
      <c r="C64" s="32" t="s">
        <v>22</v>
      </c>
      <c r="D64" s="23">
        <v>46125.489583333343</v>
      </c>
      <c r="E64" s="23">
        <v>46129.206250000003</v>
      </c>
      <c r="F64" s="23">
        <v>46129.206250000003</v>
      </c>
      <c r="G64" s="23">
        <v>46130.606249999997</v>
      </c>
      <c r="H64" s="23">
        <v>46129.206250000003</v>
      </c>
      <c r="I64" s="23">
        <v>46129</v>
      </c>
      <c r="J64" s="34" t="s">
        <v>19</v>
      </c>
      <c r="K64" s="36" t="s">
        <v>18</v>
      </c>
      <c r="L64" s="33">
        <f>(Table8[[#This Row],[Garage_Booked_DateTime]] - Table8[[#This Row],[Defect_Reported_DateTime]])*24</f>
        <v>89.199999999837019</v>
      </c>
      <c r="M64" s="33" t="str">
        <f>IF(Table8[[#This Row],[Vehicle_Type]]&lt;&gt;"Specialised", "Not Applicable", IF(Table8[[#This Row],[Hours_To_Book]]&gt;48, "Yes", "No"))</f>
        <v>Not Applicable</v>
      </c>
      <c r="N64" s="35">
        <f>(Table8[[#This Row],[Garage_Out_Date]]-Table8[[#This Row],[Garage_In_Date]])</f>
        <v>1.3999999999941792</v>
      </c>
      <c r="O64" s="35" t="str">
        <f>IF(Table8[[#This Row],[Total_VOR_Days]] &gt;3.5, "Yes", "No")</f>
        <v>No</v>
      </c>
      <c r="P64" s="35" t="str">
        <f>IF(Table8[[#This Row],[Vehicle_Type]] &lt;&gt; "Specialised", "Not Applicable", IF(AND(Table8[[#This Row],[Hours_To_Book]] &lt;=48, Table8[[#This Row],[Total_VOR_Days]] &gt;3.5), "Ineffective", "Effective"))</f>
        <v>Not Applicable</v>
      </c>
      <c r="Q64" s="53">
        <f>IF(OR(Table8[[#This Row],[Garage_In_Date]]="",Table8[[#This Row],[Actual_Repair_Start_Date]]=""),"N/A",(Table8[[#This Row],[Actual_Repair_Start_Date]]-Table8[[#This Row],[Garage_In_Date]])*24)</f>
        <v>0</v>
      </c>
      <c r="R64" s="53" t="str">
        <f>_xlfn.XLOOKUP(Table8[[#This Row],[Vehicle_ID]],Table5[Vehicle_ID],Table5[MOT_Linked],"Not Found")</f>
        <v>No</v>
      </c>
      <c r="S64" s="53"/>
      <c r="T64" s="3"/>
      <c r="U64" s="3"/>
      <c r="V64" s="3"/>
      <c r="W64" s="3"/>
      <c r="X64" s="5"/>
      <c r="Y64" s="7"/>
      <c r="Z64" s="7"/>
      <c r="AA64" s="9"/>
      <c r="AB64" s="9"/>
      <c r="AC64" s="9"/>
      <c r="AD64" s="6"/>
    </row>
    <row r="65" spans="1:30" ht="24.95" customHeight="1">
      <c r="A65" s="37" t="s">
        <v>104</v>
      </c>
      <c r="B65" s="38" t="s">
        <v>21</v>
      </c>
      <c r="C65" s="38" t="s">
        <v>42</v>
      </c>
      <c r="D65" s="26">
        <v>46118.729166666657</v>
      </c>
      <c r="E65" s="26">
        <v>46120.654166666667</v>
      </c>
      <c r="F65" s="26">
        <v>46121.654166666667</v>
      </c>
      <c r="G65" s="26">
        <v>46128.054166666669</v>
      </c>
      <c r="H65" s="26">
        <v>46122.479166666657</v>
      </c>
      <c r="I65" s="26">
        <v>46128</v>
      </c>
      <c r="J65" s="40" t="s">
        <v>33</v>
      </c>
      <c r="K65" s="42" t="s">
        <v>38</v>
      </c>
      <c r="L65" s="39">
        <f>(Table8[[#This Row],[Garage_Booked_DateTime]] - Table8[[#This Row],[Defect_Reported_DateTime]])*24</f>
        <v>46.200000000244472</v>
      </c>
      <c r="M65" s="39" t="str">
        <f>IF(Table8[[#This Row],[Vehicle_Type]]&lt;&gt;"Specialised", "Not Applicable", IF(Table8[[#This Row],[Hours_To_Book]]&gt;48, "Yes", "No"))</f>
        <v>Not Applicable</v>
      </c>
      <c r="N65" s="41">
        <f>(Table8[[#This Row],[Garage_Out_Date]]-Table8[[#This Row],[Garage_In_Date]])</f>
        <v>6.4000000000014552</v>
      </c>
      <c r="O65" s="41" t="str">
        <f>IF(Table8[[#This Row],[Total_VOR_Days]] &gt;3.5, "Yes", "No")</f>
        <v>Yes</v>
      </c>
      <c r="P65" s="41" t="str">
        <f>IF(Table8[[#This Row],[Vehicle_Type]] &lt;&gt; "Specialised", "Not Applicable", IF(AND(Table8[[#This Row],[Hours_To_Book]] &lt;=48, Table8[[#This Row],[Total_VOR_Days]] &gt;3.5), "Ineffective", "Effective"))</f>
        <v>Not Applicable</v>
      </c>
      <c r="Q65" s="53">
        <f>IF(OR(Table8[[#This Row],[Garage_In_Date]]="",Table8[[#This Row],[Actual_Repair_Start_Date]]=""),"N/A",(Table8[[#This Row],[Actual_Repair_Start_Date]]-Table8[[#This Row],[Garage_In_Date]])*24)</f>
        <v>19.799999999755528</v>
      </c>
      <c r="R65" s="53" t="str">
        <f>_xlfn.XLOOKUP(Table8[[#This Row],[Vehicle_ID]],Table5[Vehicle_ID],Table5[MOT_Linked],"Not Found")</f>
        <v>No</v>
      </c>
      <c r="S65" s="53"/>
      <c r="T65" s="3"/>
      <c r="U65" s="3"/>
      <c r="V65" s="3"/>
      <c r="W65" s="3"/>
      <c r="X65" s="5"/>
      <c r="Y65" s="7"/>
      <c r="Z65" s="7"/>
      <c r="AA65" s="9"/>
      <c r="AB65" s="9"/>
      <c r="AC65" s="9"/>
      <c r="AD65" s="6"/>
    </row>
    <row r="66" spans="1:30" ht="24.95" customHeight="1">
      <c r="A66" s="31" t="s">
        <v>105</v>
      </c>
      <c r="B66" s="32" t="s">
        <v>14</v>
      </c>
      <c r="C66" s="32" t="s">
        <v>15</v>
      </c>
      <c r="D66" s="23">
        <v>46078.5625</v>
      </c>
      <c r="E66" s="23">
        <v>46080.15</v>
      </c>
      <c r="F66" s="23">
        <v>46080.15</v>
      </c>
      <c r="G66" s="23">
        <v>46088.65</v>
      </c>
      <c r="H66" s="23">
        <v>46080.395833333343</v>
      </c>
      <c r="I66" s="23">
        <v>46087</v>
      </c>
      <c r="J66" s="34" t="s">
        <v>180</v>
      </c>
      <c r="K66" s="36" t="s">
        <v>18</v>
      </c>
      <c r="L66" s="33">
        <f>(Table8[[#This Row],[Garage_Booked_DateTime]] - Table8[[#This Row],[Defect_Reported_DateTime]])*24</f>
        <v>38.100000000034925</v>
      </c>
      <c r="M66" s="33" t="str">
        <f>IF(Table8[[#This Row],[Vehicle_Type]]&lt;&gt;"Specialised", "Not Applicable", IF(Table8[[#This Row],[Hours_To_Book]]&gt;48, "Yes", "No"))</f>
        <v>No</v>
      </c>
      <c r="N66" s="35">
        <f>(Table8[[#This Row],[Garage_Out_Date]]-Table8[[#This Row],[Garage_In_Date]])</f>
        <v>8.5</v>
      </c>
      <c r="O66" s="35" t="str">
        <f>IF(Table8[[#This Row],[Total_VOR_Days]] &gt;3.5, "Yes", "No")</f>
        <v>Yes</v>
      </c>
      <c r="P66" s="35" t="str">
        <f>IF(Table8[[#This Row],[Vehicle_Type]] &lt;&gt; "Specialised", "Not Applicable", IF(AND(Table8[[#This Row],[Hours_To_Book]] &lt;=48, Table8[[#This Row],[Total_VOR_Days]] &gt;3.5), "Ineffective", "Effective"))</f>
        <v>Ineffective</v>
      </c>
      <c r="Q66" s="53">
        <f>IF(OR(Table8[[#This Row],[Garage_In_Date]]="",Table8[[#This Row],[Actual_Repair_Start_Date]]=""),"N/A",(Table8[[#This Row],[Actual_Repair_Start_Date]]-Table8[[#This Row],[Garage_In_Date]])*24)</f>
        <v>5.900000000197906</v>
      </c>
      <c r="R66" s="53" t="str">
        <f>_xlfn.XLOOKUP(Table8[[#This Row],[Vehicle_ID]],Table5[Vehicle_ID],Table5[MOT_Linked],"Not Found")</f>
        <v>No</v>
      </c>
      <c r="S66" s="53"/>
      <c r="T66" s="3"/>
      <c r="U66" s="3"/>
      <c r="V66" s="3"/>
      <c r="W66" s="3"/>
      <c r="X66" s="5"/>
      <c r="Y66" s="7"/>
      <c r="Z66" s="7"/>
      <c r="AA66" s="9"/>
      <c r="AB66" s="9"/>
      <c r="AC66" s="9"/>
      <c r="AD66" s="6"/>
    </row>
    <row r="67" spans="1:30" ht="24.95" customHeight="1">
      <c r="A67" s="37" t="s">
        <v>106</v>
      </c>
      <c r="B67" s="38" t="s">
        <v>21</v>
      </c>
      <c r="C67" s="38" t="s">
        <v>42</v>
      </c>
      <c r="D67" s="26">
        <v>46028.447916666657</v>
      </c>
      <c r="E67" s="26">
        <v>46032.010416666657</v>
      </c>
      <c r="F67" s="26">
        <v>46033.510416666657</v>
      </c>
      <c r="G67" s="26">
        <v>46035.11041666667</v>
      </c>
      <c r="H67" s="26">
        <v>46033.510416666657</v>
      </c>
      <c r="I67" s="26">
        <v>46035</v>
      </c>
      <c r="J67" s="40" t="s">
        <v>19</v>
      </c>
      <c r="K67" s="42" t="s">
        <v>38</v>
      </c>
      <c r="L67" s="39">
        <f>(Table8[[#This Row],[Garage_Booked_DateTime]] - Table8[[#This Row],[Defect_Reported_DateTime]])*24</f>
        <v>85.5</v>
      </c>
      <c r="M67" s="39" t="str">
        <f>IF(Table8[[#This Row],[Vehicle_Type]]&lt;&gt;"Specialised", "Not Applicable", IF(Table8[[#This Row],[Hours_To_Book]]&gt;48, "Yes", "No"))</f>
        <v>Not Applicable</v>
      </c>
      <c r="N67" s="41">
        <f>(Table8[[#This Row],[Garage_Out_Date]]-Table8[[#This Row],[Garage_In_Date]])</f>
        <v>1.6000000000130967</v>
      </c>
      <c r="O67" s="41" t="str">
        <f>IF(Table8[[#This Row],[Total_VOR_Days]] &gt;3.5, "Yes", "No")</f>
        <v>No</v>
      </c>
      <c r="P67" s="41" t="str">
        <f>IF(Table8[[#This Row],[Vehicle_Type]] &lt;&gt; "Specialised", "Not Applicable", IF(AND(Table8[[#This Row],[Hours_To_Book]] &lt;=48, Table8[[#This Row],[Total_VOR_Days]] &gt;3.5), "Ineffective", "Effective"))</f>
        <v>Not Applicable</v>
      </c>
      <c r="Q67" s="53">
        <f>IF(OR(Table8[[#This Row],[Garage_In_Date]]="",Table8[[#This Row],[Actual_Repair_Start_Date]]=""),"N/A",(Table8[[#This Row],[Actual_Repair_Start_Date]]-Table8[[#This Row],[Garage_In_Date]])*24)</f>
        <v>0</v>
      </c>
      <c r="R67" s="53" t="str">
        <f>_xlfn.XLOOKUP(Table8[[#This Row],[Vehicle_ID]],Table5[Vehicle_ID],Table5[MOT_Linked],"Not Found")</f>
        <v>No</v>
      </c>
      <c r="S67" s="53"/>
      <c r="T67" s="3"/>
      <c r="U67" s="3"/>
      <c r="V67" s="3"/>
      <c r="W67" s="3"/>
      <c r="X67" s="5"/>
      <c r="Y67" s="7"/>
      <c r="Z67" s="7"/>
      <c r="AA67" s="9"/>
      <c r="AB67" s="9"/>
      <c r="AC67" s="9"/>
      <c r="AD67" s="6"/>
    </row>
    <row r="68" spans="1:30" ht="24.95" customHeight="1">
      <c r="A68" s="31" t="s">
        <v>107</v>
      </c>
      <c r="B68" s="32" t="s">
        <v>21</v>
      </c>
      <c r="C68" s="32" t="s">
        <v>222</v>
      </c>
      <c r="D68" s="23">
        <v>46067.604166666657</v>
      </c>
      <c r="E68" s="23">
        <v>46068.23333333333</v>
      </c>
      <c r="F68" s="23">
        <v>46068.566666666673</v>
      </c>
      <c r="G68" s="23">
        <v>46070.866666666669</v>
      </c>
      <c r="H68" s="23">
        <v>46068.73333333333</v>
      </c>
      <c r="I68" s="23">
        <v>46070</v>
      </c>
      <c r="J68" s="34" t="s">
        <v>19</v>
      </c>
      <c r="K68" s="36" t="s">
        <v>27</v>
      </c>
      <c r="L68" s="33">
        <f>(Table8[[#This Row],[Garage_Booked_DateTime]] - Table8[[#This Row],[Defect_Reported_DateTime]])*24</f>
        <v>15.10000000015134</v>
      </c>
      <c r="M68" s="33" t="str">
        <f>IF(Table8[[#This Row],[Vehicle_Type]]&lt;&gt;"Specialised", "Not Applicable", IF(Table8[[#This Row],[Hours_To_Book]]&gt;48, "Yes", "No"))</f>
        <v>Not Applicable</v>
      </c>
      <c r="N68" s="35">
        <f>(Table8[[#This Row],[Garage_Out_Date]]-Table8[[#This Row],[Garage_In_Date]])</f>
        <v>2.2999999999956344</v>
      </c>
      <c r="O68" s="35" t="str">
        <f>IF(Table8[[#This Row],[Total_VOR_Days]] &gt;3.5, "Yes", "No")</f>
        <v>No</v>
      </c>
      <c r="P68" s="35" t="str">
        <f>IF(Table8[[#This Row],[Vehicle_Type]] &lt;&gt; "Specialised", "Not Applicable", IF(AND(Table8[[#This Row],[Hours_To_Book]] &lt;=48, Table8[[#This Row],[Total_VOR_Days]] &gt;3.5), "Ineffective", "Effective"))</f>
        <v>Not Applicable</v>
      </c>
      <c r="Q68" s="53">
        <f>IF(OR(Table8[[#This Row],[Garage_In_Date]]="",Table8[[#This Row],[Actual_Repair_Start_Date]]=""),"N/A",(Table8[[#This Row],[Actual_Repair_Start_Date]]-Table8[[#This Row],[Garage_In_Date]])*24)</f>
        <v>3.9999999997671694</v>
      </c>
      <c r="R68" s="53" t="str">
        <f>_xlfn.XLOOKUP(Table8[[#This Row],[Vehicle_ID]],Table5[Vehicle_ID],Table5[MOT_Linked],"Not Found")</f>
        <v>No</v>
      </c>
      <c r="S68" s="53"/>
      <c r="T68" s="3"/>
      <c r="U68" s="3"/>
      <c r="V68" s="3"/>
      <c r="W68" s="3"/>
      <c r="X68" s="5"/>
      <c r="Y68" s="7"/>
      <c r="Z68" s="7"/>
      <c r="AA68" s="9"/>
      <c r="AB68" s="9"/>
      <c r="AC68" s="9"/>
      <c r="AD68" s="6"/>
    </row>
    <row r="69" spans="1:30" ht="24.95" customHeight="1">
      <c r="A69" s="37" t="s">
        <v>109</v>
      </c>
      <c r="B69" s="38" t="s">
        <v>21</v>
      </c>
      <c r="C69" s="38" t="s">
        <v>15</v>
      </c>
      <c r="D69" s="26">
        <v>46081.395833333343</v>
      </c>
      <c r="E69" s="26">
        <v>46082.1</v>
      </c>
      <c r="F69" s="26">
        <v>46082.433333333327</v>
      </c>
      <c r="G69" s="26">
        <v>46084.23333333333</v>
      </c>
      <c r="H69" s="26">
        <v>46082.433333333327</v>
      </c>
      <c r="I69" s="26">
        <v>46083</v>
      </c>
      <c r="J69" s="40" t="s">
        <v>19</v>
      </c>
      <c r="K69" s="42" t="s">
        <v>27</v>
      </c>
      <c r="L69" s="39">
        <f>(Table8[[#This Row],[Garage_Booked_DateTime]] - Table8[[#This Row],[Defect_Reported_DateTime]])*24</f>
        <v>16.899999999732245</v>
      </c>
      <c r="M69" s="39" t="str">
        <f>IF(Table8[[#This Row],[Vehicle_Type]]&lt;&gt;"Specialised", "Not Applicable", IF(Table8[[#This Row],[Hours_To_Book]]&gt;48, "Yes", "No"))</f>
        <v>Not Applicable</v>
      </c>
      <c r="N69" s="41">
        <f>(Table8[[#This Row],[Garage_Out_Date]]-Table8[[#This Row],[Garage_In_Date]])</f>
        <v>1.8000000000029104</v>
      </c>
      <c r="O69" s="41" t="str">
        <f>IF(Table8[[#This Row],[Total_VOR_Days]] &gt;3.5, "Yes", "No")</f>
        <v>No</v>
      </c>
      <c r="P69" s="41" t="str">
        <f>IF(Table8[[#This Row],[Vehicle_Type]] &lt;&gt; "Specialised", "Not Applicable", IF(AND(Table8[[#This Row],[Hours_To_Book]] &lt;=48, Table8[[#This Row],[Total_VOR_Days]] &gt;3.5), "Ineffective", "Effective"))</f>
        <v>Not Applicable</v>
      </c>
      <c r="Q69" s="53">
        <f>IF(OR(Table8[[#This Row],[Garage_In_Date]]="",Table8[[#This Row],[Actual_Repair_Start_Date]]=""),"N/A",(Table8[[#This Row],[Actual_Repair_Start_Date]]-Table8[[#This Row],[Garage_In_Date]])*24)</f>
        <v>0</v>
      </c>
      <c r="R69" s="53" t="str">
        <f>_xlfn.XLOOKUP(Table8[[#This Row],[Vehicle_ID]],Table5[Vehicle_ID],Table5[MOT_Linked],"Not Found")</f>
        <v>No</v>
      </c>
      <c r="S69" s="53"/>
      <c r="T69" s="3"/>
      <c r="U69" s="3"/>
      <c r="V69" s="3"/>
      <c r="W69" s="3"/>
      <c r="X69" s="5"/>
      <c r="Y69" s="7"/>
      <c r="Z69" s="7"/>
      <c r="AA69" s="9"/>
      <c r="AB69" s="9"/>
      <c r="AC69" s="9"/>
      <c r="AD69" s="6"/>
    </row>
    <row r="70" spans="1:30" ht="24.95" customHeight="1">
      <c r="A70" s="31" t="s">
        <v>110</v>
      </c>
      <c r="B70" s="32" t="s">
        <v>21</v>
      </c>
      <c r="C70" s="32" t="s">
        <v>222</v>
      </c>
      <c r="D70" s="23">
        <v>46075.34375</v>
      </c>
      <c r="E70" s="23">
        <v>46079.810416666667</v>
      </c>
      <c r="F70" s="23">
        <v>46081.310416666667</v>
      </c>
      <c r="G70" s="23">
        <v>46083.310416666667</v>
      </c>
      <c r="H70" s="23">
        <v>46081.310416666667</v>
      </c>
      <c r="I70" s="23">
        <v>46082</v>
      </c>
      <c r="J70" s="34" t="s">
        <v>19</v>
      </c>
      <c r="K70" s="36" t="s">
        <v>18</v>
      </c>
      <c r="L70" s="33">
        <f>(Table8[[#This Row],[Garage_Booked_DateTime]] - Table8[[#This Row],[Defect_Reported_DateTime]])*24</f>
        <v>107.20000000001164</v>
      </c>
      <c r="M70" s="33" t="str">
        <f>IF(Table8[[#This Row],[Vehicle_Type]]&lt;&gt;"Specialised", "Not Applicable", IF(Table8[[#This Row],[Hours_To_Book]]&gt;48, "Yes", "No"))</f>
        <v>Not Applicable</v>
      </c>
      <c r="N70" s="35">
        <f>(Table8[[#This Row],[Garage_Out_Date]]-Table8[[#This Row],[Garage_In_Date]])</f>
        <v>2</v>
      </c>
      <c r="O70" s="35" t="str">
        <f>IF(Table8[[#This Row],[Total_VOR_Days]] &gt;3.5, "Yes", "No")</f>
        <v>No</v>
      </c>
      <c r="P70" s="35" t="str">
        <f>IF(Table8[[#This Row],[Vehicle_Type]] &lt;&gt; "Specialised", "Not Applicable", IF(AND(Table8[[#This Row],[Hours_To_Book]] &lt;=48, Table8[[#This Row],[Total_VOR_Days]] &gt;3.5), "Ineffective", "Effective"))</f>
        <v>Not Applicable</v>
      </c>
      <c r="Q70" s="53">
        <f>IF(OR(Table8[[#This Row],[Garage_In_Date]]="",Table8[[#This Row],[Actual_Repair_Start_Date]]=""),"N/A",(Table8[[#This Row],[Actual_Repair_Start_Date]]-Table8[[#This Row],[Garage_In_Date]])*24)</f>
        <v>0</v>
      </c>
      <c r="R70" s="53" t="str">
        <f>_xlfn.XLOOKUP(Table8[[#This Row],[Vehicle_ID]],Table5[Vehicle_ID],Table5[MOT_Linked],"Not Found")</f>
        <v>No</v>
      </c>
      <c r="S70" s="53"/>
      <c r="T70" s="3"/>
      <c r="U70" s="3"/>
      <c r="V70" s="3"/>
      <c r="W70" s="3"/>
      <c r="X70" s="5"/>
      <c r="Y70" s="7"/>
      <c r="Z70" s="7"/>
      <c r="AA70" s="9"/>
      <c r="AB70" s="9"/>
      <c r="AC70" s="9"/>
      <c r="AD70" s="6"/>
    </row>
    <row r="71" spans="1:30" ht="24.95" customHeight="1">
      <c r="A71" s="37" t="s">
        <v>111</v>
      </c>
      <c r="B71" s="38" t="s">
        <v>14</v>
      </c>
      <c r="C71" s="38" t="s">
        <v>42</v>
      </c>
      <c r="D71" s="26">
        <v>46085.375</v>
      </c>
      <c r="E71" s="26">
        <v>46087.037499999999</v>
      </c>
      <c r="F71" s="26">
        <v>46089.037499999999</v>
      </c>
      <c r="G71" s="26">
        <v>46092.137499999997</v>
      </c>
      <c r="H71" s="26">
        <v>46091.479166666657</v>
      </c>
      <c r="I71" s="26">
        <v>46090</v>
      </c>
      <c r="J71" s="40" t="s">
        <v>19</v>
      </c>
      <c r="K71" s="42" t="s">
        <v>38</v>
      </c>
      <c r="L71" s="39">
        <f>(Table8[[#This Row],[Garage_Booked_DateTime]] - Table8[[#This Row],[Defect_Reported_DateTime]])*24</f>
        <v>39.899999999965075</v>
      </c>
      <c r="M71" s="39" t="str">
        <f>IF(Table8[[#This Row],[Vehicle_Type]]&lt;&gt;"Specialised", "Not Applicable", IF(Table8[[#This Row],[Hours_To_Book]]&gt;48, "Yes", "No"))</f>
        <v>No</v>
      </c>
      <c r="N71" s="41">
        <f>(Table8[[#This Row],[Garage_Out_Date]]-Table8[[#This Row],[Garage_In_Date]])</f>
        <v>3.0999999999985448</v>
      </c>
      <c r="O71" s="41" t="str">
        <f>IF(Table8[[#This Row],[Total_VOR_Days]] &gt;3.5, "Yes", "No")</f>
        <v>No</v>
      </c>
      <c r="P71" s="41" t="str">
        <f>IF(Table8[[#This Row],[Vehicle_Type]] &lt;&gt; "Specialised", "Not Applicable", IF(AND(Table8[[#This Row],[Hours_To_Book]] &lt;=48, Table8[[#This Row],[Total_VOR_Days]] &gt;3.5), "Ineffective", "Effective"))</f>
        <v>Effective</v>
      </c>
      <c r="Q71" s="53">
        <f>IF(OR(Table8[[#This Row],[Garage_In_Date]]="",Table8[[#This Row],[Actual_Repair_Start_Date]]=""),"N/A",(Table8[[#This Row],[Actual_Repair_Start_Date]]-Table8[[#This Row],[Garage_In_Date]])*24)</f>
        <v>58.599999999802094</v>
      </c>
      <c r="R71" s="53" t="str">
        <f>_xlfn.XLOOKUP(Table8[[#This Row],[Vehicle_ID]],Table5[Vehicle_ID],Table5[MOT_Linked],"Not Found")</f>
        <v>No</v>
      </c>
      <c r="S71" s="53"/>
      <c r="T71" s="3"/>
      <c r="U71" s="3"/>
      <c r="V71" s="3"/>
      <c r="W71" s="3"/>
      <c r="X71" s="5"/>
      <c r="Y71" s="7"/>
      <c r="Z71" s="7"/>
      <c r="AA71" s="9"/>
      <c r="AB71" s="9"/>
      <c r="AC71" s="9"/>
      <c r="AD71" s="6"/>
    </row>
    <row r="72" spans="1:30" ht="24.95" customHeight="1">
      <c r="A72" s="31" t="s">
        <v>112</v>
      </c>
      <c r="B72" s="32" t="s">
        <v>21</v>
      </c>
      <c r="C72" s="32" t="s">
        <v>222</v>
      </c>
      <c r="D72" s="23">
        <v>46038.447916666657</v>
      </c>
      <c r="E72" s="23">
        <v>46040.310416666667</v>
      </c>
      <c r="F72" s="23">
        <v>46042.310416666667</v>
      </c>
      <c r="G72" s="23">
        <v>46045.710416666669</v>
      </c>
      <c r="H72" s="23">
        <v>46045.375</v>
      </c>
      <c r="I72" s="23">
        <v>46045</v>
      </c>
      <c r="J72" s="34" t="s">
        <v>19</v>
      </c>
      <c r="K72" s="36" t="s">
        <v>35</v>
      </c>
      <c r="L72" s="33">
        <f>(Table8[[#This Row],[Garage_Booked_DateTime]] - Table8[[#This Row],[Defect_Reported_DateTime]])*24</f>
        <v>44.700000000244472</v>
      </c>
      <c r="M72" s="33" t="str">
        <f>IF(Table8[[#This Row],[Vehicle_Type]]&lt;&gt;"Specialised", "Not Applicable", IF(Table8[[#This Row],[Hours_To_Book]]&gt;48, "Yes", "No"))</f>
        <v>Not Applicable</v>
      </c>
      <c r="N72" s="35">
        <f>(Table8[[#This Row],[Garage_Out_Date]]-Table8[[#This Row],[Garage_In_Date]])</f>
        <v>3.4000000000014552</v>
      </c>
      <c r="O72" s="35" t="str">
        <f>IF(Table8[[#This Row],[Total_VOR_Days]] &gt;3.5, "Yes", "No")</f>
        <v>No</v>
      </c>
      <c r="P72" s="35" t="str">
        <f>IF(Table8[[#This Row],[Vehicle_Type]] &lt;&gt; "Specialised", "Not Applicable", IF(AND(Table8[[#This Row],[Hours_To_Book]] &lt;=48, Table8[[#This Row],[Total_VOR_Days]] &gt;3.5), "Ineffective", "Effective"))</f>
        <v>Not Applicable</v>
      </c>
      <c r="Q72" s="53">
        <f>IF(OR(Table8[[#This Row],[Garage_In_Date]]="",Table8[[#This Row],[Actual_Repair_Start_Date]]=""),"N/A",(Table8[[#This Row],[Actual_Repair_Start_Date]]-Table8[[#This Row],[Garage_In_Date]])*24)</f>
        <v>73.549999999988358</v>
      </c>
      <c r="R72" s="53" t="str">
        <f>_xlfn.XLOOKUP(Table8[[#This Row],[Vehicle_ID]],Table5[Vehicle_ID],Table5[MOT_Linked],"Not Found")</f>
        <v>No</v>
      </c>
      <c r="S72" s="53"/>
      <c r="T72" s="3"/>
      <c r="U72" s="3"/>
      <c r="V72" s="3"/>
      <c r="W72" s="3"/>
      <c r="X72" s="5"/>
      <c r="Y72" s="7"/>
      <c r="Z72" s="7"/>
      <c r="AA72" s="9"/>
      <c r="AB72" s="9"/>
      <c r="AC72" s="9"/>
      <c r="AD72" s="6"/>
    </row>
    <row r="73" spans="1:30" ht="24.95" customHeight="1">
      <c r="A73" s="37" t="s">
        <v>113</v>
      </c>
      <c r="B73" s="38" t="s">
        <v>14</v>
      </c>
      <c r="C73" s="38" t="s">
        <v>15</v>
      </c>
      <c r="D73" s="26">
        <v>46099.677083333343</v>
      </c>
      <c r="E73" s="26">
        <v>46102.043749999997</v>
      </c>
      <c r="F73" s="26">
        <v>46102.377083333333</v>
      </c>
      <c r="G73" s="26">
        <v>46109.57708333333</v>
      </c>
      <c r="H73" s="26">
        <v>46103.427083333343</v>
      </c>
      <c r="I73" s="26">
        <v>46107</v>
      </c>
      <c r="J73" s="40" t="s">
        <v>184</v>
      </c>
      <c r="K73" s="42" t="s">
        <v>18</v>
      </c>
      <c r="L73" s="39">
        <f>(Table8[[#This Row],[Garage_Booked_DateTime]] - Table8[[#This Row],[Defect_Reported_DateTime]])*24</f>
        <v>56.79999999969732</v>
      </c>
      <c r="M73" s="39" t="str">
        <f>IF(Table8[[#This Row],[Vehicle_Type]]&lt;&gt;"Specialised", "Not Applicable", IF(Table8[[#This Row],[Hours_To_Book]]&gt;48, "Yes", "No"))</f>
        <v>Yes</v>
      </c>
      <c r="N73" s="41">
        <f>(Table8[[#This Row],[Garage_Out_Date]]-Table8[[#This Row],[Garage_In_Date]])</f>
        <v>7.1999999999970896</v>
      </c>
      <c r="O73" s="41" t="str">
        <f>IF(Table8[[#This Row],[Total_VOR_Days]] &gt;3.5, "Yes", "No")</f>
        <v>Yes</v>
      </c>
      <c r="P73" s="41" t="str">
        <f>IF(Table8[[#This Row],[Vehicle_Type]] &lt;&gt; "Specialised", "Not Applicable", IF(AND(Table8[[#This Row],[Hours_To_Book]] &lt;=48, Table8[[#This Row],[Total_VOR_Days]] &gt;3.5), "Ineffective", "Effective"))</f>
        <v>Effective</v>
      </c>
      <c r="Q73" s="53">
        <f>IF(OR(Table8[[#This Row],[Garage_In_Date]]="",Table8[[#This Row],[Actual_Repair_Start_Date]]=""),"N/A",(Table8[[#This Row],[Actual_Repair_Start_Date]]-Table8[[#This Row],[Garage_In_Date]])*24)</f>
        <v>25.200000000244472</v>
      </c>
      <c r="R73" s="53" t="str">
        <f>_xlfn.XLOOKUP(Table8[[#This Row],[Vehicle_ID]],Table5[Vehicle_ID],Table5[MOT_Linked],"Not Found")</f>
        <v>No</v>
      </c>
      <c r="S73" s="53"/>
      <c r="T73" s="3"/>
      <c r="U73" s="3"/>
      <c r="V73" s="3"/>
      <c r="W73" s="3"/>
      <c r="X73" s="5"/>
      <c r="Y73" s="7"/>
      <c r="Z73" s="7"/>
      <c r="AA73" s="9"/>
      <c r="AB73" s="9"/>
      <c r="AC73" s="9"/>
      <c r="AD73" s="6"/>
    </row>
    <row r="74" spans="1:30" ht="24.95" customHeight="1">
      <c r="A74" s="31" t="s">
        <v>114</v>
      </c>
      <c r="B74" s="32" t="s">
        <v>21</v>
      </c>
      <c r="C74" s="32" t="s">
        <v>15</v>
      </c>
      <c r="D74" s="23">
        <v>46059.53125</v>
      </c>
      <c r="E74" s="23">
        <v>46062.48541666667</v>
      </c>
      <c r="F74" s="23">
        <v>46063.48541666667</v>
      </c>
      <c r="G74" s="23">
        <v>46066.085416666669</v>
      </c>
      <c r="H74" s="23">
        <v>46063.48541666667</v>
      </c>
      <c r="I74" s="23">
        <v>46064</v>
      </c>
      <c r="J74" s="34" t="s">
        <v>19</v>
      </c>
      <c r="K74" s="36" t="s">
        <v>89</v>
      </c>
      <c r="L74" s="33">
        <f>(Table8[[#This Row],[Garage_Booked_DateTime]] - Table8[[#This Row],[Defect_Reported_DateTime]])*24</f>
        <v>70.900000000081491</v>
      </c>
      <c r="M74" s="33" t="str">
        <f>IF(Table8[[#This Row],[Vehicle_Type]]&lt;&gt;"Specialised", "Not Applicable", IF(Table8[[#This Row],[Hours_To_Book]]&gt;48, "Yes", "No"))</f>
        <v>Not Applicable</v>
      </c>
      <c r="N74" s="35">
        <f>(Table8[[#This Row],[Garage_Out_Date]]-Table8[[#This Row],[Garage_In_Date]])</f>
        <v>2.5999999999985448</v>
      </c>
      <c r="O74" s="35" t="str">
        <f>IF(Table8[[#This Row],[Total_VOR_Days]] &gt;3.5, "Yes", "No")</f>
        <v>No</v>
      </c>
      <c r="P74" s="35" t="str">
        <f>IF(Table8[[#This Row],[Vehicle_Type]] &lt;&gt; "Specialised", "Not Applicable", IF(AND(Table8[[#This Row],[Hours_To_Book]] &lt;=48, Table8[[#This Row],[Total_VOR_Days]] &gt;3.5), "Ineffective", "Effective"))</f>
        <v>Not Applicable</v>
      </c>
      <c r="Q74" s="53">
        <f>IF(OR(Table8[[#This Row],[Garage_In_Date]]="",Table8[[#This Row],[Actual_Repair_Start_Date]]=""),"N/A",(Table8[[#This Row],[Actual_Repair_Start_Date]]-Table8[[#This Row],[Garage_In_Date]])*24)</f>
        <v>0</v>
      </c>
      <c r="R74" s="53" t="str">
        <f>_xlfn.XLOOKUP(Table8[[#This Row],[Vehicle_ID]],Table5[Vehicle_ID],Table5[MOT_Linked],"Not Found")</f>
        <v>No</v>
      </c>
      <c r="S74" s="53"/>
      <c r="T74" s="3"/>
      <c r="U74" s="3"/>
      <c r="V74" s="3"/>
      <c r="W74" s="3"/>
      <c r="X74" s="5"/>
      <c r="Y74" s="7"/>
      <c r="Z74" s="7"/>
      <c r="AA74" s="9"/>
      <c r="AB74" s="9"/>
      <c r="AC74" s="9"/>
      <c r="AD74" s="6"/>
    </row>
    <row r="75" spans="1:30" ht="24.95" customHeight="1">
      <c r="A75" s="37" t="s">
        <v>115</v>
      </c>
      <c r="B75" s="38" t="s">
        <v>21</v>
      </c>
      <c r="C75" s="38" t="s">
        <v>30</v>
      </c>
      <c r="D75" s="26">
        <v>46112.489583333343</v>
      </c>
      <c r="E75" s="26">
        <v>46114.943749999999</v>
      </c>
      <c r="F75" s="26">
        <v>46114.943749999999</v>
      </c>
      <c r="G75" s="26">
        <v>46122.543749999997</v>
      </c>
      <c r="H75" s="26">
        <v>46116.458333333343</v>
      </c>
      <c r="I75" s="26">
        <v>46122</v>
      </c>
      <c r="J75" s="40" t="s">
        <v>180</v>
      </c>
      <c r="K75" s="42" t="s">
        <v>35</v>
      </c>
      <c r="L75" s="39">
        <f>(Table8[[#This Row],[Garage_Booked_DateTime]] - Table8[[#This Row],[Defect_Reported_DateTime]])*24</f>
        <v>58.899999999732245</v>
      </c>
      <c r="M75" s="39" t="str">
        <f>IF(Table8[[#This Row],[Vehicle_Type]]&lt;&gt;"Specialised", "Not Applicable", IF(Table8[[#This Row],[Hours_To_Book]]&gt;48, "Yes", "No"))</f>
        <v>Not Applicable</v>
      </c>
      <c r="N75" s="41">
        <f>(Table8[[#This Row],[Garage_Out_Date]]-Table8[[#This Row],[Garage_In_Date]])</f>
        <v>7.5999999999985448</v>
      </c>
      <c r="O75" s="41" t="str">
        <f>IF(Table8[[#This Row],[Total_VOR_Days]] &gt;3.5, "Yes", "No")</f>
        <v>Yes</v>
      </c>
      <c r="P75" s="41" t="str">
        <f>IF(Table8[[#This Row],[Vehicle_Type]] &lt;&gt; "Specialised", "Not Applicable", IF(AND(Table8[[#This Row],[Hours_To_Book]] &lt;=48, Table8[[#This Row],[Total_VOR_Days]] &gt;3.5), "Ineffective", "Effective"))</f>
        <v>Not Applicable</v>
      </c>
      <c r="Q75" s="53">
        <f>IF(OR(Table8[[#This Row],[Garage_In_Date]]="",Table8[[#This Row],[Actual_Repair_Start_Date]]=""),"N/A",(Table8[[#This Row],[Actual_Repair_Start_Date]]-Table8[[#This Row],[Garage_In_Date]])*24)</f>
        <v>36.350000000267755</v>
      </c>
      <c r="R75" s="53" t="str">
        <f>_xlfn.XLOOKUP(Table8[[#This Row],[Vehicle_ID]],Table5[Vehicle_ID],Table5[MOT_Linked],"Not Found")</f>
        <v>No</v>
      </c>
      <c r="S75" s="53"/>
      <c r="T75" s="3"/>
      <c r="U75" s="3"/>
      <c r="V75" s="3"/>
      <c r="W75" s="3"/>
      <c r="X75" s="5"/>
      <c r="Y75" s="7"/>
      <c r="Z75" s="7"/>
      <c r="AA75" s="9"/>
      <c r="AB75" s="9"/>
      <c r="AC75" s="9"/>
      <c r="AD75" s="6"/>
    </row>
    <row r="76" spans="1:30" ht="24.95" customHeight="1">
      <c r="A76" s="31" t="s">
        <v>116</v>
      </c>
      <c r="B76" s="32" t="s">
        <v>21</v>
      </c>
      <c r="C76" s="32" t="s">
        <v>222</v>
      </c>
      <c r="D76" s="23">
        <v>46027.4375</v>
      </c>
      <c r="E76" s="23">
        <v>46031.004166666673</v>
      </c>
      <c r="F76" s="23">
        <v>46032.004166666673</v>
      </c>
      <c r="G76" s="23">
        <v>46033.20416666667</v>
      </c>
      <c r="H76" s="23">
        <v>46032.004166666673</v>
      </c>
      <c r="I76" s="23">
        <v>46033</v>
      </c>
      <c r="J76" s="34" t="s">
        <v>19</v>
      </c>
      <c r="K76" s="36" t="s">
        <v>35</v>
      </c>
      <c r="L76" s="33">
        <f>(Table8[[#This Row],[Garage_Booked_DateTime]] - Table8[[#This Row],[Defect_Reported_DateTime]])*24</f>
        <v>85.60000000015134</v>
      </c>
      <c r="M76" s="33" t="str">
        <f>IF(Table8[[#This Row],[Vehicle_Type]]&lt;&gt;"Specialised", "Not Applicable", IF(Table8[[#This Row],[Hours_To_Book]]&gt;48, "Yes", "No"))</f>
        <v>Not Applicable</v>
      </c>
      <c r="N76" s="35">
        <f>(Table8[[#This Row],[Garage_Out_Date]]-Table8[[#This Row],[Garage_In_Date]])</f>
        <v>1.1999999999970896</v>
      </c>
      <c r="O76" s="35" t="str">
        <f>IF(Table8[[#This Row],[Total_VOR_Days]] &gt;3.5, "Yes", "No")</f>
        <v>No</v>
      </c>
      <c r="P76" s="35" t="str">
        <f>IF(Table8[[#This Row],[Vehicle_Type]] &lt;&gt; "Specialised", "Not Applicable", IF(AND(Table8[[#This Row],[Hours_To_Book]] &lt;=48, Table8[[#This Row],[Total_VOR_Days]] &gt;3.5), "Ineffective", "Effective"))</f>
        <v>Not Applicable</v>
      </c>
      <c r="Q76" s="53">
        <f>IF(OR(Table8[[#This Row],[Garage_In_Date]]="",Table8[[#This Row],[Actual_Repair_Start_Date]]=""),"N/A",(Table8[[#This Row],[Actual_Repair_Start_Date]]-Table8[[#This Row],[Garage_In_Date]])*24)</f>
        <v>0</v>
      </c>
      <c r="R76" s="53" t="str">
        <f>_xlfn.XLOOKUP(Table8[[#This Row],[Vehicle_ID]],Table5[Vehicle_ID],Table5[MOT_Linked],"Not Found")</f>
        <v>No</v>
      </c>
      <c r="S76" s="53"/>
      <c r="T76" s="3"/>
      <c r="U76" s="3"/>
      <c r="V76" s="3"/>
      <c r="W76" s="3"/>
      <c r="X76" s="5"/>
      <c r="Y76" s="7"/>
      <c r="Z76" s="7"/>
      <c r="AA76" s="9"/>
      <c r="AB76" s="9"/>
      <c r="AC76" s="9"/>
      <c r="AD76" s="6"/>
    </row>
    <row r="77" spans="1:30" ht="24.95" customHeight="1">
      <c r="A77" s="37" t="s">
        <v>117</v>
      </c>
      <c r="B77" s="38" t="s">
        <v>14</v>
      </c>
      <c r="C77" s="38" t="s">
        <v>26</v>
      </c>
      <c r="D77" s="26">
        <v>46056.572916666657</v>
      </c>
      <c r="E77" s="26">
        <v>46057.372916666667</v>
      </c>
      <c r="F77" s="26">
        <v>46059.372916666667</v>
      </c>
      <c r="G77" s="26">
        <v>46060.372916666667</v>
      </c>
      <c r="H77" s="26">
        <v>46059.46875</v>
      </c>
      <c r="I77" s="26">
        <v>46060</v>
      </c>
      <c r="J77" s="40" t="s">
        <v>19</v>
      </c>
      <c r="K77" s="42" t="s">
        <v>44</v>
      </c>
      <c r="L77" s="39">
        <f>(Table8[[#This Row],[Garage_Booked_DateTime]] - Table8[[#This Row],[Defect_Reported_DateTime]])*24</f>
        <v>19.200000000244472</v>
      </c>
      <c r="M77" s="39" t="str">
        <f>IF(Table8[[#This Row],[Vehicle_Type]]&lt;&gt;"Specialised", "Not Applicable", IF(Table8[[#This Row],[Hours_To_Book]]&gt;48, "Yes", "No"))</f>
        <v>No</v>
      </c>
      <c r="N77" s="41">
        <f>(Table8[[#This Row],[Garage_Out_Date]]-Table8[[#This Row],[Garage_In_Date]])</f>
        <v>1</v>
      </c>
      <c r="O77" s="41" t="str">
        <f>IF(Table8[[#This Row],[Total_VOR_Days]] &gt;3.5, "Yes", "No")</f>
        <v>No</v>
      </c>
      <c r="P77" s="41" t="str">
        <f>IF(Table8[[#This Row],[Vehicle_Type]] &lt;&gt; "Specialised", "Not Applicable", IF(AND(Table8[[#This Row],[Hours_To_Book]] &lt;=48, Table8[[#This Row],[Total_VOR_Days]] &gt;3.5), "Ineffective", "Effective"))</f>
        <v>Effective</v>
      </c>
      <c r="Q77" s="53">
        <f>IF(OR(Table8[[#This Row],[Garage_In_Date]]="",Table8[[#This Row],[Actual_Repair_Start_Date]]=""),"N/A",(Table8[[#This Row],[Actual_Repair_Start_Date]]-Table8[[#This Row],[Garage_In_Date]])*24)</f>
        <v>2.2999999999883585</v>
      </c>
      <c r="R77" s="53" t="str">
        <f>_xlfn.XLOOKUP(Table8[[#This Row],[Vehicle_ID]],Table5[Vehicle_ID],Table5[MOT_Linked],"Not Found")</f>
        <v>No</v>
      </c>
      <c r="S77" s="53"/>
      <c r="T77" s="3"/>
      <c r="U77" s="3"/>
      <c r="V77" s="3"/>
      <c r="W77" s="3"/>
      <c r="X77" s="5"/>
      <c r="Y77" s="7"/>
      <c r="Z77" s="7"/>
      <c r="AA77" s="9"/>
      <c r="AB77" s="9"/>
      <c r="AC77" s="9"/>
      <c r="AD77" s="6"/>
    </row>
    <row r="78" spans="1:30" ht="24.95" customHeight="1">
      <c r="A78" s="31" t="s">
        <v>118</v>
      </c>
      <c r="B78" s="32" t="s">
        <v>21</v>
      </c>
      <c r="C78" s="32" t="s">
        <v>42</v>
      </c>
      <c r="D78" s="23">
        <v>46027.708333333343</v>
      </c>
      <c r="E78" s="23">
        <v>46030.133333333331</v>
      </c>
      <c r="F78" s="23">
        <v>46030.466666666667</v>
      </c>
      <c r="G78" s="23">
        <v>46037.666666666657</v>
      </c>
      <c r="H78" s="23">
        <v>46033.427083333343</v>
      </c>
      <c r="I78" s="23">
        <v>46035</v>
      </c>
      <c r="J78" s="34" t="s">
        <v>28</v>
      </c>
      <c r="K78" s="36" t="s">
        <v>38</v>
      </c>
      <c r="L78" s="33">
        <f>(Table8[[#This Row],[Garage_Booked_DateTime]] - Table8[[#This Row],[Defect_Reported_DateTime]])*24</f>
        <v>58.199999999720603</v>
      </c>
      <c r="M78" s="33" t="str">
        <f>IF(Table8[[#This Row],[Vehicle_Type]]&lt;&gt;"Specialised", "Not Applicable", IF(Table8[[#This Row],[Hours_To_Book]]&gt;48, "Yes", "No"))</f>
        <v>Not Applicable</v>
      </c>
      <c r="N78" s="35">
        <f>(Table8[[#This Row],[Garage_Out_Date]]-Table8[[#This Row],[Garage_In_Date]])</f>
        <v>7.1999999999898137</v>
      </c>
      <c r="O78" s="35" t="str">
        <f>IF(Table8[[#This Row],[Total_VOR_Days]] &gt;3.5, "Yes", "No")</f>
        <v>Yes</v>
      </c>
      <c r="P78" s="35" t="str">
        <f>IF(Table8[[#This Row],[Vehicle_Type]] &lt;&gt; "Specialised", "Not Applicable", IF(AND(Table8[[#This Row],[Hours_To_Book]] &lt;=48, Table8[[#This Row],[Total_VOR_Days]] &gt;3.5), "Ineffective", "Effective"))</f>
        <v>Not Applicable</v>
      </c>
      <c r="Q78" s="53">
        <f>IF(OR(Table8[[#This Row],[Garage_In_Date]]="",Table8[[#This Row],[Actual_Repair_Start_Date]]=""),"N/A",(Table8[[#This Row],[Actual_Repair_Start_Date]]-Table8[[#This Row],[Garage_In_Date]])*24)</f>
        <v>71.050000000221189</v>
      </c>
      <c r="R78" s="53" t="str">
        <f>_xlfn.XLOOKUP(Table8[[#This Row],[Vehicle_ID]],Table5[Vehicle_ID],Table5[MOT_Linked],"Not Found")</f>
        <v>No</v>
      </c>
      <c r="S78" s="53"/>
      <c r="T78" s="3"/>
      <c r="U78" s="3"/>
      <c r="V78" s="3"/>
      <c r="W78" s="3"/>
      <c r="X78" s="5"/>
      <c r="Y78" s="7"/>
      <c r="Z78" s="7"/>
      <c r="AA78" s="9"/>
      <c r="AB78" s="9"/>
      <c r="AC78" s="9"/>
      <c r="AD78" s="6"/>
    </row>
    <row r="79" spans="1:30" ht="24.95" customHeight="1">
      <c r="A79" s="37" t="s">
        <v>119</v>
      </c>
      <c r="B79" s="38" t="s">
        <v>14</v>
      </c>
      <c r="C79" s="38" t="s">
        <v>15</v>
      </c>
      <c r="D79" s="26">
        <v>46061.333333333343</v>
      </c>
      <c r="E79" s="26">
        <v>46062.487500000003</v>
      </c>
      <c r="F79" s="26">
        <v>46062.820833333331</v>
      </c>
      <c r="G79" s="26">
        <v>46067.620833333327</v>
      </c>
      <c r="H79" s="26">
        <v>46063.416666666657</v>
      </c>
      <c r="I79" s="26">
        <v>46066</v>
      </c>
      <c r="J79" s="40" t="s">
        <v>184</v>
      </c>
      <c r="K79" s="42" t="s">
        <v>35</v>
      </c>
      <c r="L79" s="39">
        <f>(Table8[[#This Row],[Garage_Booked_DateTime]] - Table8[[#This Row],[Defect_Reported_DateTime]])*24</f>
        <v>27.699999999837019</v>
      </c>
      <c r="M79" s="39" t="str">
        <f>IF(Table8[[#This Row],[Vehicle_Type]]&lt;&gt;"Specialised", "Not Applicable", IF(Table8[[#This Row],[Hours_To_Book]]&gt;48, "Yes", "No"))</f>
        <v>No</v>
      </c>
      <c r="N79" s="41">
        <f>(Table8[[#This Row],[Garage_Out_Date]]-Table8[[#This Row],[Garage_In_Date]])</f>
        <v>4.7999999999956344</v>
      </c>
      <c r="O79" s="41" t="str">
        <f>IF(Table8[[#This Row],[Total_VOR_Days]] &gt;3.5, "Yes", "No")</f>
        <v>Yes</v>
      </c>
      <c r="P79" s="41" t="str">
        <f>IF(Table8[[#This Row],[Vehicle_Type]] &lt;&gt; "Specialised", "Not Applicable", IF(AND(Table8[[#This Row],[Hours_To_Book]] &lt;=48, Table8[[#This Row],[Total_VOR_Days]] &gt;3.5), "Ineffective", "Effective"))</f>
        <v>Ineffective</v>
      </c>
      <c r="Q79" s="53">
        <f>IF(OR(Table8[[#This Row],[Garage_In_Date]]="",Table8[[#This Row],[Actual_Repair_Start_Date]]=""),"N/A",(Table8[[#This Row],[Actual_Repair_Start_Date]]-Table8[[#This Row],[Garage_In_Date]])*24)</f>
        <v>14.299999999813735</v>
      </c>
      <c r="R79" s="53" t="str">
        <f>_xlfn.XLOOKUP(Table8[[#This Row],[Vehicle_ID]],Table5[Vehicle_ID],Table5[MOT_Linked],"Not Found")</f>
        <v>Yes</v>
      </c>
      <c r="S79" s="53"/>
      <c r="T79" s="3"/>
      <c r="U79" s="3"/>
      <c r="V79" s="3"/>
      <c r="W79" s="3"/>
      <c r="X79" s="5"/>
      <c r="Y79" s="7"/>
      <c r="Z79" s="7"/>
      <c r="AA79" s="9"/>
      <c r="AB79" s="9"/>
      <c r="AC79" s="9"/>
      <c r="AD79" s="6"/>
    </row>
    <row r="80" spans="1:30" ht="24.95" customHeight="1">
      <c r="A80" s="31" t="s">
        <v>120</v>
      </c>
      <c r="B80" s="32" t="s">
        <v>21</v>
      </c>
      <c r="C80" s="32" t="s">
        <v>30</v>
      </c>
      <c r="D80" s="23">
        <v>46045.40625</v>
      </c>
      <c r="E80" s="23">
        <v>46047.20208333333</v>
      </c>
      <c r="F80" s="23">
        <v>46048.70208333333</v>
      </c>
      <c r="G80" s="23">
        <v>46051.902083333327</v>
      </c>
      <c r="H80" s="23">
        <v>46049.416666666657</v>
      </c>
      <c r="I80" s="23">
        <v>46051</v>
      </c>
      <c r="J80" s="34" t="s">
        <v>19</v>
      </c>
      <c r="K80" s="36" t="s">
        <v>31</v>
      </c>
      <c r="L80" s="33">
        <f>(Table8[[#This Row],[Garage_Booked_DateTime]] - Table8[[#This Row],[Defect_Reported_DateTime]])*24</f>
        <v>43.099999999918509</v>
      </c>
      <c r="M80" s="33" t="str">
        <f>IF(Table8[[#This Row],[Vehicle_Type]]&lt;&gt;"Specialised", "Not Applicable", IF(Table8[[#This Row],[Hours_To_Book]]&gt;48, "Yes", "No"))</f>
        <v>Not Applicable</v>
      </c>
      <c r="N80" s="35">
        <f>(Table8[[#This Row],[Garage_Out_Date]]-Table8[[#This Row],[Garage_In_Date]])</f>
        <v>3.1999999999970896</v>
      </c>
      <c r="O80" s="35" t="str">
        <f>IF(Table8[[#This Row],[Total_VOR_Days]] &gt;3.5, "Yes", "No")</f>
        <v>No</v>
      </c>
      <c r="P80" s="35" t="str">
        <f>IF(Table8[[#This Row],[Vehicle_Type]] &lt;&gt; "Specialised", "Not Applicable", IF(AND(Table8[[#This Row],[Hours_To_Book]] &lt;=48, Table8[[#This Row],[Total_VOR_Days]] &gt;3.5), "Ineffective", "Effective"))</f>
        <v>Not Applicable</v>
      </c>
      <c r="Q80" s="53">
        <f>IF(OR(Table8[[#This Row],[Garage_In_Date]]="",Table8[[#This Row],[Actual_Repair_Start_Date]]=""),"N/A",(Table8[[#This Row],[Actual_Repair_Start_Date]]-Table8[[#This Row],[Garage_In_Date]])*24)</f>
        <v>17.14999999984866</v>
      </c>
      <c r="R80" s="53" t="str">
        <f>_xlfn.XLOOKUP(Table8[[#This Row],[Vehicle_ID]],Table5[Vehicle_ID],Table5[MOT_Linked],"Not Found")</f>
        <v>No</v>
      </c>
      <c r="S80" s="53"/>
      <c r="T80" s="3"/>
      <c r="U80" s="3"/>
      <c r="V80" s="3"/>
      <c r="W80" s="3"/>
      <c r="X80" s="5"/>
      <c r="Y80" s="7"/>
      <c r="Z80" s="7"/>
      <c r="AA80" s="9"/>
      <c r="AB80" s="9"/>
      <c r="AC80" s="9"/>
      <c r="AD80" s="6"/>
    </row>
    <row r="81" spans="1:30" ht="24.95" customHeight="1">
      <c r="A81" s="37" t="s">
        <v>121</v>
      </c>
      <c r="B81" s="38" t="s">
        <v>14</v>
      </c>
      <c r="C81" s="38" t="s">
        <v>42</v>
      </c>
      <c r="D81" s="26">
        <v>46109.677083333343</v>
      </c>
      <c r="E81" s="26">
        <v>46111.647916666669</v>
      </c>
      <c r="F81" s="26">
        <v>46113.147916666669</v>
      </c>
      <c r="G81" s="26">
        <v>46119.54791666667</v>
      </c>
      <c r="H81" s="26">
        <v>46113.314583333333</v>
      </c>
      <c r="I81" s="26">
        <v>46119</v>
      </c>
      <c r="J81" s="40" t="s">
        <v>36</v>
      </c>
      <c r="K81" s="42" t="s">
        <v>18</v>
      </c>
      <c r="L81" s="39">
        <f>(Table8[[#This Row],[Garage_Booked_DateTime]] - Table8[[#This Row],[Defect_Reported_DateTime]])*24</f>
        <v>47.299999999813735</v>
      </c>
      <c r="M81" s="39" t="str">
        <f>IF(Table8[[#This Row],[Vehicle_Type]]&lt;&gt;"Specialised", "Not Applicable", IF(Table8[[#This Row],[Hours_To_Book]]&gt;48, "Yes", "No"))</f>
        <v>No</v>
      </c>
      <c r="N81" s="41">
        <f>(Table8[[#This Row],[Garage_Out_Date]]-Table8[[#This Row],[Garage_In_Date]])</f>
        <v>6.4000000000014552</v>
      </c>
      <c r="O81" s="41" t="str">
        <f>IF(Table8[[#This Row],[Total_VOR_Days]] &gt;3.5, "Yes", "No")</f>
        <v>Yes</v>
      </c>
      <c r="P81" s="41" t="str">
        <f>IF(Table8[[#This Row],[Vehicle_Type]] &lt;&gt; "Specialised", "Not Applicable", IF(AND(Table8[[#This Row],[Hours_To_Book]] &lt;=48, Table8[[#This Row],[Total_VOR_Days]] &gt;3.5), "Ineffective", "Effective"))</f>
        <v>Ineffective</v>
      </c>
      <c r="Q81" s="53">
        <f>IF(OR(Table8[[#This Row],[Garage_In_Date]]="",Table8[[#This Row],[Actual_Repair_Start_Date]]=""),"N/A",(Table8[[#This Row],[Actual_Repair_Start_Date]]-Table8[[#This Row],[Garage_In_Date]])*24)</f>
        <v>3.9999999999417923</v>
      </c>
      <c r="R81" s="53" t="str">
        <f>_xlfn.XLOOKUP(Table8[[#This Row],[Vehicle_ID]],Table5[Vehicle_ID],Table5[MOT_Linked],"Not Found")</f>
        <v>No</v>
      </c>
      <c r="S81" s="53"/>
      <c r="T81" s="3"/>
      <c r="U81" s="3"/>
      <c r="V81" s="3"/>
      <c r="W81" s="3"/>
      <c r="X81" s="5"/>
      <c r="Y81" s="7"/>
      <c r="Z81" s="7"/>
      <c r="AA81" s="9"/>
      <c r="AB81" s="9"/>
      <c r="AC81" s="9"/>
      <c r="AD81" s="6"/>
    </row>
    <row r="82" spans="1:30" ht="24.95" customHeight="1">
      <c r="A82" s="31" t="s">
        <v>122</v>
      </c>
      <c r="B82" s="32" t="s">
        <v>21</v>
      </c>
      <c r="C82" s="32" t="s">
        <v>30</v>
      </c>
      <c r="D82" s="23">
        <v>46072.625</v>
      </c>
      <c r="E82" s="23">
        <v>46075.012499999997</v>
      </c>
      <c r="F82" s="23">
        <v>46076.512499999997</v>
      </c>
      <c r="G82" s="23">
        <v>46083.3125</v>
      </c>
      <c r="H82" s="23">
        <v>46076.512499999997</v>
      </c>
      <c r="I82" s="23">
        <v>46084</v>
      </c>
      <c r="J82" s="34" t="s">
        <v>33</v>
      </c>
      <c r="K82" s="36" t="s">
        <v>23</v>
      </c>
      <c r="L82" s="33">
        <f>(Table8[[#This Row],[Garage_Booked_DateTime]] - Table8[[#This Row],[Defect_Reported_DateTime]])*24</f>
        <v>57.299999999930151</v>
      </c>
      <c r="M82" s="33" t="str">
        <f>IF(Table8[[#This Row],[Vehicle_Type]]&lt;&gt;"Specialised", "Not Applicable", IF(Table8[[#This Row],[Hours_To_Book]]&gt;48, "Yes", "No"))</f>
        <v>Not Applicable</v>
      </c>
      <c r="N82" s="35">
        <f>(Table8[[#This Row],[Garage_Out_Date]]-Table8[[#This Row],[Garage_In_Date]])</f>
        <v>6.8000000000029104</v>
      </c>
      <c r="O82" s="35" t="str">
        <f>IF(Table8[[#This Row],[Total_VOR_Days]] &gt;3.5, "Yes", "No")</f>
        <v>Yes</v>
      </c>
      <c r="P82" s="35" t="str">
        <f>IF(Table8[[#This Row],[Vehicle_Type]] &lt;&gt; "Specialised", "Not Applicable", IF(AND(Table8[[#This Row],[Hours_To_Book]] &lt;=48, Table8[[#This Row],[Total_VOR_Days]] &gt;3.5), "Ineffective", "Effective"))</f>
        <v>Not Applicable</v>
      </c>
      <c r="Q82" s="53">
        <f>IF(OR(Table8[[#This Row],[Garage_In_Date]]="",Table8[[#This Row],[Actual_Repair_Start_Date]]=""),"N/A",(Table8[[#This Row],[Actual_Repair_Start_Date]]-Table8[[#This Row],[Garage_In_Date]])*24)</f>
        <v>0</v>
      </c>
      <c r="R82" s="53" t="str">
        <f>_xlfn.XLOOKUP(Table8[[#This Row],[Vehicle_ID]],Table5[Vehicle_ID],Table5[MOT_Linked],"Not Found")</f>
        <v>No</v>
      </c>
      <c r="S82" s="53"/>
      <c r="T82" s="3"/>
      <c r="U82" s="3"/>
      <c r="V82" s="3"/>
      <c r="W82" s="3"/>
      <c r="X82" s="5"/>
      <c r="Y82" s="7"/>
      <c r="Z82" s="7"/>
      <c r="AA82" s="9"/>
      <c r="AB82" s="9"/>
      <c r="AC82" s="9"/>
      <c r="AD82" s="6"/>
    </row>
    <row r="83" spans="1:30" ht="24.95" customHeight="1">
      <c r="A83" s="37" t="s">
        <v>123</v>
      </c>
      <c r="B83" s="38" t="s">
        <v>14</v>
      </c>
      <c r="C83" s="38" t="s">
        <v>15</v>
      </c>
      <c r="D83" s="26">
        <v>46133.364583333343</v>
      </c>
      <c r="E83" s="26">
        <v>46134.95208333333</v>
      </c>
      <c r="F83" s="26">
        <v>46135.118750000001</v>
      </c>
      <c r="G83" s="26">
        <v>46135.618750000001</v>
      </c>
      <c r="H83" s="26">
        <v>46135.285416666673</v>
      </c>
      <c r="I83" s="26">
        <v>46136</v>
      </c>
      <c r="J83" s="40" t="s">
        <v>19</v>
      </c>
      <c r="K83" s="42" t="s">
        <v>35</v>
      </c>
      <c r="L83" s="39">
        <f>(Table8[[#This Row],[Garage_Booked_DateTime]] - Table8[[#This Row],[Defect_Reported_DateTime]])*24</f>
        <v>38.099999999685679</v>
      </c>
      <c r="M83" s="39" t="str">
        <f>IF(Table8[[#This Row],[Vehicle_Type]]&lt;&gt;"Specialised", "Not Applicable", IF(Table8[[#This Row],[Hours_To_Book]]&gt;48, "Yes", "No"))</f>
        <v>No</v>
      </c>
      <c r="N83" s="41">
        <f>(Table8[[#This Row],[Garage_Out_Date]]-Table8[[#This Row],[Garage_In_Date]])</f>
        <v>0.5</v>
      </c>
      <c r="O83" s="41" t="str">
        <f>IF(Table8[[#This Row],[Total_VOR_Days]] &gt;3.5, "Yes", "No")</f>
        <v>No</v>
      </c>
      <c r="P83" s="41" t="str">
        <f>IF(Table8[[#This Row],[Vehicle_Type]] &lt;&gt; "Specialised", "Not Applicable", IF(AND(Table8[[#This Row],[Hours_To_Book]] &lt;=48, Table8[[#This Row],[Total_VOR_Days]] &gt;3.5), "Ineffective", "Effective"))</f>
        <v>Effective</v>
      </c>
      <c r="Q83" s="53">
        <f>IF(OR(Table8[[#This Row],[Garage_In_Date]]="",Table8[[#This Row],[Actual_Repair_Start_Date]]=""),"N/A",(Table8[[#This Row],[Actual_Repair_Start_Date]]-Table8[[#This Row],[Garage_In_Date]])*24)</f>
        <v>4.0000000001164153</v>
      </c>
      <c r="R83" s="53" t="str">
        <f>_xlfn.XLOOKUP(Table8[[#This Row],[Vehicle_ID]],Table5[Vehicle_ID],Table5[MOT_Linked],"Not Found")</f>
        <v>No</v>
      </c>
      <c r="S83" s="53"/>
      <c r="T83" s="3"/>
      <c r="U83" s="3"/>
      <c r="V83" s="3"/>
      <c r="W83" s="3"/>
      <c r="X83" s="5"/>
      <c r="Y83" s="7"/>
      <c r="Z83" s="7"/>
      <c r="AA83" s="9"/>
      <c r="AB83" s="9"/>
      <c r="AC83" s="9"/>
      <c r="AD83" s="6"/>
    </row>
    <row r="84" spans="1:30" ht="24.95" customHeight="1">
      <c r="A84" s="31" t="s">
        <v>124</v>
      </c>
      <c r="B84" s="32" t="s">
        <v>21</v>
      </c>
      <c r="C84" s="32" t="s">
        <v>22</v>
      </c>
      <c r="D84" s="23">
        <v>46035.354166666657</v>
      </c>
      <c r="E84" s="23">
        <v>46037.70416666667</v>
      </c>
      <c r="F84" s="23">
        <v>46038.037499999999</v>
      </c>
      <c r="G84" s="23">
        <v>46041.737500000003</v>
      </c>
      <c r="H84" s="23">
        <v>46038.385416666657</v>
      </c>
      <c r="I84" s="23">
        <v>46040</v>
      </c>
      <c r="J84" s="34" t="s">
        <v>33</v>
      </c>
      <c r="K84" s="36" t="s">
        <v>35</v>
      </c>
      <c r="L84" s="33">
        <f>(Table8[[#This Row],[Garage_Booked_DateTime]] - Table8[[#This Row],[Defect_Reported_DateTime]])*24</f>
        <v>56.400000000314321</v>
      </c>
      <c r="M84" s="33" t="str">
        <f>IF(Table8[[#This Row],[Vehicle_Type]]&lt;&gt;"Specialised", "Not Applicable", IF(Table8[[#This Row],[Hours_To_Book]]&gt;48, "Yes", "No"))</f>
        <v>Not Applicable</v>
      </c>
      <c r="N84" s="35">
        <f>(Table8[[#This Row],[Garage_Out_Date]]-Table8[[#This Row],[Garage_In_Date]])</f>
        <v>3.7000000000043656</v>
      </c>
      <c r="O84" s="35" t="str">
        <f>IF(Table8[[#This Row],[Total_VOR_Days]] &gt;3.5, "Yes", "No")</f>
        <v>Yes</v>
      </c>
      <c r="P84" s="35" t="str">
        <f>IF(Table8[[#This Row],[Vehicle_Type]] &lt;&gt; "Specialised", "Not Applicable", IF(AND(Table8[[#This Row],[Hours_To_Book]] &lt;=48, Table8[[#This Row],[Total_VOR_Days]] &gt;3.5), "Ineffective", "Effective"))</f>
        <v>Not Applicable</v>
      </c>
      <c r="Q84" s="53">
        <f>IF(OR(Table8[[#This Row],[Garage_In_Date]]="",Table8[[#This Row],[Actual_Repair_Start_Date]]=""),"N/A",(Table8[[#This Row],[Actual_Repair_Start_Date]]-Table8[[#This Row],[Garage_In_Date]])*24)</f>
        <v>8.349999999802094</v>
      </c>
      <c r="R84" s="53" t="str">
        <f>_xlfn.XLOOKUP(Table8[[#This Row],[Vehicle_ID]],Table5[Vehicle_ID],Table5[MOT_Linked],"Not Found")</f>
        <v>Yes</v>
      </c>
      <c r="S84" s="53"/>
      <c r="T84" s="3"/>
      <c r="U84" s="3"/>
      <c r="V84" s="3"/>
      <c r="W84" s="3"/>
      <c r="X84" s="5"/>
      <c r="Y84" s="7"/>
      <c r="Z84" s="7"/>
      <c r="AA84" s="9"/>
      <c r="AB84" s="9"/>
      <c r="AC84" s="9"/>
      <c r="AD84" s="6"/>
    </row>
    <row r="85" spans="1:30" ht="24.95" customHeight="1">
      <c r="A85" s="37" t="s">
        <v>125</v>
      </c>
      <c r="B85" s="38" t="s">
        <v>21</v>
      </c>
      <c r="C85" s="38" t="s">
        <v>30</v>
      </c>
      <c r="D85" s="26">
        <v>46039.6875</v>
      </c>
      <c r="E85" s="26">
        <v>46040.020833333343</v>
      </c>
      <c r="F85" s="26">
        <v>46040.1875</v>
      </c>
      <c r="G85" s="26">
        <v>46043.487500000003</v>
      </c>
      <c r="H85" s="26">
        <v>46040.354166666657</v>
      </c>
      <c r="I85" s="26">
        <v>46042</v>
      </c>
      <c r="J85" s="40" t="s">
        <v>19</v>
      </c>
      <c r="K85" s="42" t="s">
        <v>89</v>
      </c>
      <c r="L85" s="39">
        <f>(Table8[[#This Row],[Garage_Booked_DateTime]] - Table8[[#This Row],[Defect_Reported_DateTime]])*24</f>
        <v>8.0000000002328306</v>
      </c>
      <c r="M85" s="39" t="str">
        <f>IF(Table8[[#This Row],[Vehicle_Type]]&lt;&gt;"Specialised", "Not Applicable", IF(Table8[[#This Row],[Hours_To_Book]]&gt;48, "Yes", "No"))</f>
        <v>Not Applicable</v>
      </c>
      <c r="N85" s="41">
        <f>(Table8[[#This Row],[Garage_Out_Date]]-Table8[[#This Row],[Garage_In_Date]])</f>
        <v>3.3000000000029104</v>
      </c>
      <c r="O85" s="41" t="str">
        <f>IF(Table8[[#This Row],[Total_VOR_Days]] &gt;3.5, "Yes", "No")</f>
        <v>No</v>
      </c>
      <c r="P85" s="41" t="str">
        <f>IF(Table8[[#This Row],[Vehicle_Type]] &lt;&gt; "Specialised", "Not Applicable", IF(AND(Table8[[#This Row],[Hours_To_Book]] &lt;=48, Table8[[#This Row],[Total_VOR_Days]] &gt;3.5), "Ineffective", "Effective"))</f>
        <v>Not Applicable</v>
      </c>
      <c r="Q85" s="53">
        <f>IF(OR(Table8[[#This Row],[Garage_In_Date]]="",Table8[[#This Row],[Actual_Repair_Start_Date]]=""),"N/A",(Table8[[#This Row],[Actual_Repair_Start_Date]]-Table8[[#This Row],[Garage_In_Date]])*24)</f>
        <v>3.9999999997671694</v>
      </c>
      <c r="R85" s="53" t="str">
        <f>_xlfn.XLOOKUP(Table8[[#This Row],[Vehicle_ID]],Table5[Vehicle_ID],Table5[MOT_Linked],"Not Found")</f>
        <v>No</v>
      </c>
      <c r="S85" s="53"/>
      <c r="T85" s="3"/>
      <c r="U85" s="3"/>
      <c r="V85" s="3"/>
      <c r="W85" s="3"/>
      <c r="X85" s="5"/>
      <c r="Y85" s="7"/>
      <c r="Z85" s="7"/>
      <c r="AA85" s="9"/>
      <c r="AB85" s="9"/>
      <c r="AC85" s="9"/>
      <c r="AD85" s="6"/>
    </row>
    <row r="86" spans="1:30" ht="24.95" customHeight="1">
      <c r="A86" s="31" t="s">
        <v>126</v>
      </c>
      <c r="B86" s="32" t="s">
        <v>14</v>
      </c>
      <c r="C86" s="32" t="s">
        <v>26</v>
      </c>
      <c r="D86" s="23">
        <v>46032.427083333343</v>
      </c>
      <c r="E86" s="23">
        <v>46033.997916666667</v>
      </c>
      <c r="F86" s="23">
        <v>46034.997916666667</v>
      </c>
      <c r="G86" s="23">
        <v>46036.697916666657</v>
      </c>
      <c r="H86" s="23">
        <v>46034.997916666667</v>
      </c>
      <c r="I86" s="23">
        <v>46036</v>
      </c>
      <c r="J86" s="34" t="s">
        <v>19</v>
      </c>
      <c r="K86" s="36" t="s">
        <v>31</v>
      </c>
      <c r="L86" s="33">
        <f>(Table8[[#This Row],[Garage_Booked_DateTime]] - Table8[[#This Row],[Defect_Reported_DateTime]])*24</f>
        <v>37.699999999778811</v>
      </c>
      <c r="M86" s="33" t="str">
        <f>IF(Table8[[#This Row],[Vehicle_Type]]&lt;&gt;"Specialised", "Not Applicable", IF(Table8[[#This Row],[Hours_To_Book]]&gt;48, "Yes", "No"))</f>
        <v>No</v>
      </c>
      <c r="N86" s="35">
        <f>(Table8[[#This Row],[Garage_Out_Date]]-Table8[[#This Row],[Garage_In_Date]])</f>
        <v>1.6999999999898137</v>
      </c>
      <c r="O86" s="35" t="str">
        <f>IF(Table8[[#This Row],[Total_VOR_Days]] &gt;3.5, "Yes", "No")</f>
        <v>No</v>
      </c>
      <c r="P86" s="35" t="str">
        <f>IF(Table8[[#This Row],[Vehicle_Type]] &lt;&gt; "Specialised", "Not Applicable", IF(AND(Table8[[#This Row],[Hours_To_Book]] &lt;=48, Table8[[#This Row],[Total_VOR_Days]] &gt;3.5), "Ineffective", "Effective"))</f>
        <v>Effective</v>
      </c>
      <c r="Q86" s="53">
        <f>IF(OR(Table8[[#This Row],[Garage_In_Date]]="",Table8[[#This Row],[Actual_Repair_Start_Date]]=""),"N/A",(Table8[[#This Row],[Actual_Repair_Start_Date]]-Table8[[#This Row],[Garage_In_Date]])*24)</f>
        <v>0</v>
      </c>
      <c r="R86" s="53" t="str">
        <f>_xlfn.XLOOKUP(Table8[[#This Row],[Vehicle_ID]],Table5[Vehicle_ID],Table5[MOT_Linked],"Not Found")</f>
        <v>No</v>
      </c>
      <c r="S86" s="53"/>
      <c r="T86" s="3"/>
      <c r="U86" s="3"/>
      <c r="V86" s="3"/>
      <c r="W86" s="3"/>
      <c r="X86" s="5"/>
      <c r="Y86" s="7"/>
      <c r="Z86" s="7"/>
      <c r="AA86" s="9"/>
      <c r="AB86" s="9"/>
      <c r="AC86" s="9"/>
      <c r="AD86" s="6"/>
    </row>
    <row r="87" spans="1:30" ht="24.95" customHeight="1">
      <c r="A87" s="37" t="s">
        <v>127</v>
      </c>
      <c r="B87" s="38" t="s">
        <v>21</v>
      </c>
      <c r="C87" s="38" t="s">
        <v>26</v>
      </c>
      <c r="D87" s="26">
        <v>46091.40625</v>
      </c>
      <c r="E87" s="26">
        <v>46092.664583333331</v>
      </c>
      <c r="F87" s="26">
        <v>46092.997916666667</v>
      </c>
      <c r="G87" s="26">
        <v>46099.597916666673</v>
      </c>
      <c r="H87" s="26">
        <v>46093.427083333343</v>
      </c>
      <c r="I87" s="26">
        <v>46097</v>
      </c>
      <c r="J87" s="40" t="s">
        <v>36</v>
      </c>
      <c r="K87" s="42" t="s">
        <v>48</v>
      </c>
      <c r="L87" s="39">
        <f>(Table8[[#This Row],[Garage_Booked_DateTime]] - Table8[[#This Row],[Defect_Reported_DateTime]])*24</f>
        <v>30.199999999953434</v>
      </c>
      <c r="M87" s="39" t="str">
        <f>IF(Table8[[#This Row],[Vehicle_Type]]&lt;&gt;"Specialised", "Not Applicable", IF(Table8[[#This Row],[Hours_To_Book]]&gt;48, "Yes", "No"))</f>
        <v>Not Applicable</v>
      </c>
      <c r="N87" s="41">
        <f>(Table8[[#This Row],[Garage_Out_Date]]-Table8[[#This Row],[Garage_In_Date]])</f>
        <v>6.6000000000058208</v>
      </c>
      <c r="O87" s="41" t="str">
        <f>IF(Table8[[#This Row],[Total_VOR_Days]] &gt;3.5, "Yes", "No")</f>
        <v>Yes</v>
      </c>
      <c r="P87" s="41" t="str">
        <f>IF(Table8[[#This Row],[Vehicle_Type]] &lt;&gt; "Specialised", "Not Applicable", IF(AND(Table8[[#This Row],[Hours_To_Book]] &lt;=48, Table8[[#This Row],[Total_VOR_Days]] &gt;3.5), "Ineffective", "Effective"))</f>
        <v>Not Applicable</v>
      </c>
      <c r="Q87" s="53">
        <f>IF(OR(Table8[[#This Row],[Garage_In_Date]]="",Table8[[#This Row],[Actual_Repair_Start_Date]]=""),"N/A",(Table8[[#This Row],[Actual_Repair_Start_Date]]-Table8[[#This Row],[Garage_In_Date]])*24)</f>
        <v>10.300000000221189</v>
      </c>
      <c r="R87" s="53" t="str">
        <f>_xlfn.XLOOKUP(Table8[[#This Row],[Vehicle_ID]],Table5[Vehicle_ID],Table5[MOT_Linked],"Not Found")</f>
        <v>No</v>
      </c>
      <c r="S87" s="53"/>
      <c r="T87" s="3"/>
      <c r="U87" s="3"/>
      <c r="V87" s="3"/>
      <c r="W87" s="3"/>
      <c r="X87" s="5"/>
      <c r="Y87" s="7"/>
      <c r="Z87" s="7"/>
      <c r="AA87" s="9"/>
      <c r="AB87" s="9"/>
      <c r="AC87" s="9"/>
      <c r="AD87" s="6"/>
    </row>
    <row r="88" spans="1:30" ht="24.95" customHeight="1">
      <c r="A88" s="31" t="s">
        <v>128</v>
      </c>
      <c r="B88" s="32" t="s">
        <v>14</v>
      </c>
      <c r="C88" s="32" t="s">
        <v>15</v>
      </c>
      <c r="D88" s="23">
        <v>46136.6875</v>
      </c>
      <c r="E88" s="23">
        <v>46138.112500000003</v>
      </c>
      <c r="F88" s="23">
        <v>46138.112500000003</v>
      </c>
      <c r="G88" s="23">
        <v>46141.612500000003</v>
      </c>
      <c r="H88" s="23">
        <v>46138.279166666667</v>
      </c>
      <c r="I88" s="23">
        <v>46140</v>
      </c>
      <c r="J88" s="34" t="s">
        <v>19</v>
      </c>
      <c r="K88" s="36" t="s">
        <v>38</v>
      </c>
      <c r="L88" s="33">
        <f>(Table8[[#This Row],[Garage_Booked_DateTime]] - Table8[[#This Row],[Defect_Reported_DateTime]])*24</f>
        <v>34.200000000069849</v>
      </c>
      <c r="M88" s="33" t="str">
        <f>IF(Table8[[#This Row],[Vehicle_Type]]&lt;&gt;"Specialised", "Not Applicable", IF(Table8[[#This Row],[Hours_To_Book]]&gt;48, "Yes", "No"))</f>
        <v>No</v>
      </c>
      <c r="N88" s="35">
        <f>(Table8[[#This Row],[Garage_Out_Date]]-Table8[[#This Row],[Garage_In_Date]])</f>
        <v>3.5</v>
      </c>
      <c r="O88" s="35" t="str">
        <f>IF(Table8[[#This Row],[Total_VOR_Days]] &gt;3.5, "Yes", "No")</f>
        <v>No</v>
      </c>
      <c r="P88" s="35" t="str">
        <f>IF(Table8[[#This Row],[Vehicle_Type]] &lt;&gt; "Specialised", "Not Applicable", IF(AND(Table8[[#This Row],[Hours_To_Book]] &lt;=48, Table8[[#This Row],[Total_VOR_Days]] &gt;3.5), "Ineffective", "Effective"))</f>
        <v>Effective</v>
      </c>
      <c r="Q88" s="53">
        <f>IF(OR(Table8[[#This Row],[Garage_In_Date]]="",Table8[[#This Row],[Actual_Repair_Start_Date]]=""),"N/A",(Table8[[#This Row],[Actual_Repair_Start_Date]]-Table8[[#This Row],[Garage_In_Date]])*24)</f>
        <v>3.9999999999417923</v>
      </c>
      <c r="R88" s="53" t="str">
        <f>_xlfn.XLOOKUP(Table8[[#This Row],[Vehicle_ID]],Table5[Vehicle_ID],Table5[MOT_Linked],"Not Found")</f>
        <v>No</v>
      </c>
      <c r="S88" s="53"/>
      <c r="T88" s="3"/>
      <c r="U88" s="3"/>
      <c r="V88" s="3"/>
      <c r="W88" s="3"/>
      <c r="X88" s="5"/>
      <c r="Y88" s="7"/>
      <c r="Z88" s="7"/>
      <c r="AA88" s="9"/>
      <c r="AB88" s="9"/>
      <c r="AC88" s="9"/>
      <c r="AD88" s="6"/>
    </row>
    <row r="89" spans="1:30" ht="24.95" customHeight="1">
      <c r="A89" s="37" t="s">
        <v>129</v>
      </c>
      <c r="B89" s="38" t="s">
        <v>21</v>
      </c>
      <c r="C89" s="38" t="s">
        <v>30</v>
      </c>
      <c r="D89" s="26">
        <v>46028.354166666657</v>
      </c>
      <c r="E89" s="26">
        <v>46031.1</v>
      </c>
      <c r="F89" s="26">
        <v>46031.26666666667</v>
      </c>
      <c r="G89" s="26">
        <v>46035.466666666667</v>
      </c>
      <c r="H89" s="26">
        <v>46033.427083333343</v>
      </c>
      <c r="I89" s="26">
        <v>46033</v>
      </c>
      <c r="J89" s="40" t="s">
        <v>180</v>
      </c>
      <c r="K89" s="42" t="s">
        <v>27</v>
      </c>
      <c r="L89" s="39">
        <f>(Table8[[#This Row],[Garage_Booked_DateTime]] - Table8[[#This Row],[Defect_Reported_DateTime]])*24</f>
        <v>65.900000000197906</v>
      </c>
      <c r="M89" s="39" t="str">
        <f>IF(Table8[[#This Row],[Vehicle_Type]]&lt;&gt;"Specialised", "Not Applicable", IF(Table8[[#This Row],[Hours_To_Book]]&gt;48, "Yes", "No"))</f>
        <v>Not Applicable</v>
      </c>
      <c r="N89" s="41">
        <f>(Table8[[#This Row],[Garage_Out_Date]]-Table8[[#This Row],[Garage_In_Date]])</f>
        <v>4.1999999999970896</v>
      </c>
      <c r="O89" s="41" t="str">
        <f>IF(Table8[[#This Row],[Total_VOR_Days]] &gt;3.5, "Yes", "No")</f>
        <v>Yes</v>
      </c>
      <c r="P89" s="41" t="str">
        <f>IF(Table8[[#This Row],[Vehicle_Type]] &lt;&gt; "Specialised", "Not Applicable", IF(AND(Table8[[#This Row],[Hours_To_Book]] &lt;=48, Table8[[#This Row],[Total_VOR_Days]] &gt;3.5), "Ineffective", "Effective"))</f>
        <v>Not Applicable</v>
      </c>
      <c r="Q89" s="53">
        <f>IF(OR(Table8[[#This Row],[Garage_In_Date]]="",Table8[[#This Row],[Actual_Repair_Start_Date]]=""),"N/A",(Table8[[#This Row],[Actual_Repair_Start_Date]]-Table8[[#This Row],[Garage_In_Date]])*24)</f>
        <v>51.85000000015134</v>
      </c>
      <c r="R89" s="53" t="str">
        <f>_xlfn.XLOOKUP(Table8[[#This Row],[Vehicle_ID]],Table5[Vehicle_ID],Table5[MOT_Linked],"Not Found")</f>
        <v>Yes</v>
      </c>
      <c r="S89" s="53"/>
      <c r="T89" s="3"/>
      <c r="U89" s="3"/>
      <c r="V89" s="3"/>
      <c r="W89" s="3"/>
      <c r="X89" s="5"/>
      <c r="Y89" s="7"/>
      <c r="Z89" s="7"/>
      <c r="AA89" s="9"/>
      <c r="AB89" s="9"/>
      <c r="AC89" s="9"/>
      <c r="AD89" s="6"/>
    </row>
    <row r="90" spans="1:30" ht="24.95" customHeight="1">
      <c r="A90" s="31" t="s">
        <v>130</v>
      </c>
      <c r="B90" s="32" t="s">
        <v>14</v>
      </c>
      <c r="C90" s="32" t="s">
        <v>26</v>
      </c>
      <c r="D90" s="23">
        <v>46116.447916666657</v>
      </c>
      <c r="E90" s="23">
        <v>46117.277083333327</v>
      </c>
      <c r="F90" s="23">
        <v>46118.777083333327</v>
      </c>
      <c r="G90" s="23">
        <v>46119.877083333333</v>
      </c>
      <c r="H90" s="23">
        <v>46118.777083333327</v>
      </c>
      <c r="I90" s="23">
        <v>46120</v>
      </c>
      <c r="J90" s="34" t="s">
        <v>19</v>
      </c>
      <c r="K90" s="36" t="s">
        <v>44</v>
      </c>
      <c r="L90" s="33">
        <f>(Table8[[#This Row],[Garage_Booked_DateTime]] - Table8[[#This Row],[Defect_Reported_DateTime]])*24</f>
        <v>19.900000000081491</v>
      </c>
      <c r="M90" s="33" t="str">
        <f>IF(Table8[[#This Row],[Vehicle_Type]]&lt;&gt;"Specialised", "Not Applicable", IF(Table8[[#This Row],[Hours_To_Book]]&gt;48, "Yes", "No"))</f>
        <v>No</v>
      </c>
      <c r="N90" s="35">
        <f>(Table8[[#This Row],[Garage_Out_Date]]-Table8[[#This Row],[Garage_In_Date]])</f>
        <v>1.1000000000058208</v>
      </c>
      <c r="O90" s="35" t="str">
        <f>IF(Table8[[#This Row],[Total_VOR_Days]] &gt;3.5, "Yes", "No")</f>
        <v>No</v>
      </c>
      <c r="P90" s="35" t="str">
        <f>IF(Table8[[#This Row],[Vehicle_Type]] &lt;&gt; "Specialised", "Not Applicable", IF(AND(Table8[[#This Row],[Hours_To_Book]] &lt;=48, Table8[[#This Row],[Total_VOR_Days]] &gt;3.5), "Ineffective", "Effective"))</f>
        <v>Effective</v>
      </c>
      <c r="Q90" s="53">
        <f>IF(OR(Table8[[#This Row],[Garage_In_Date]]="",Table8[[#This Row],[Actual_Repair_Start_Date]]=""),"N/A",(Table8[[#This Row],[Actual_Repair_Start_Date]]-Table8[[#This Row],[Garage_In_Date]])*24)</f>
        <v>0</v>
      </c>
      <c r="R90" s="53" t="str">
        <f>_xlfn.XLOOKUP(Table8[[#This Row],[Vehicle_ID]],Table5[Vehicle_ID],Table5[MOT_Linked],"Not Found")</f>
        <v>No</v>
      </c>
      <c r="S90" s="53"/>
      <c r="T90" s="3"/>
      <c r="U90" s="3"/>
      <c r="V90" s="3"/>
      <c r="W90" s="3"/>
      <c r="X90" s="5"/>
      <c r="Y90" s="7"/>
      <c r="Z90" s="7"/>
      <c r="AA90" s="9"/>
      <c r="AB90" s="9"/>
      <c r="AC90" s="9"/>
      <c r="AD90" s="6"/>
    </row>
    <row r="91" spans="1:30" ht="24.95" customHeight="1">
      <c r="A91" s="37" t="s">
        <v>131</v>
      </c>
      <c r="B91" s="38" t="s">
        <v>14</v>
      </c>
      <c r="C91" s="38" t="s">
        <v>22</v>
      </c>
      <c r="D91" s="26">
        <v>46132.541666666657</v>
      </c>
      <c r="E91" s="26">
        <v>46134.087500000001</v>
      </c>
      <c r="F91" s="26">
        <v>46136.087500000001</v>
      </c>
      <c r="G91" s="26">
        <v>46140.087500000001</v>
      </c>
      <c r="H91" s="26">
        <v>46136.254166666673</v>
      </c>
      <c r="I91" s="26">
        <v>46139</v>
      </c>
      <c r="J91" s="40" t="s">
        <v>36</v>
      </c>
      <c r="K91" s="42" t="s">
        <v>44</v>
      </c>
      <c r="L91" s="39">
        <f>(Table8[[#This Row],[Garage_Booked_DateTime]] - Table8[[#This Row],[Defect_Reported_DateTime]])*24</f>
        <v>37.100000000267755</v>
      </c>
      <c r="M91" s="39" t="str">
        <f>IF(Table8[[#This Row],[Vehicle_Type]]&lt;&gt;"Specialised", "Not Applicable", IF(Table8[[#This Row],[Hours_To_Book]]&gt;48, "Yes", "No"))</f>
        <v>No</v>
      </c>
      <c r="N91" s="41">
        <f>(Table8[[#This Row],[Garage_Out_Date]]-Table8[[#This Row],[Garage_In_Date]])</f>
        <v>4</v>
      </c>
      <c r="O91" s="41" t="str">
        <f>IF(Table8[[#This Row],[Total_VOR_Days]] &gt;3.5, "Yes", "No")</f>
        <v>Yes</v>
      </c>
      <c r="P91" s="41" t="str">
        <f>IF(Table8[[#This Row],[Vehicle_Type]] &lt;&gt; "Specialised", "Not Applicable", IF(AND(Table8[[#This Row],[Hours_To_Book]] &lt;=48, Table8[[#This Row],[Total_VOR_Days]] &gt;3.5), "Ineffective", "Effective"))</f>
        <v>Ineffective</v>
      </c>
      <c r="Q91" s="53">
        <f>IF(OR(Table8[[#This Row],[Garage_In_Date]]="",Table8[[#This Row],[Actual_Repair_Start_Date]]=""),"N/A",(Table8[[#This Row],[Actual_Repair_Start_Date]]-Table8[[#This Row],[Garage_In_Date]])*24)</f>
        <v>4.0000000001164153</v>
      </c>
      <c r="R91" s="53" t="str">
        <f>_xlfn.XLOOKUP(Table8[[#This Row],[Vehicle_ID]],Table5[Vehicle_ID],Table5[MOT_Linked],"Not Found")</f>
        <v>No</v>
      </c>
      <c r="S91" s="53"/>
      <c r="T91" s="3"/>
      <c r="U91" s="3"/>
      <c r="V91" s="3"/>
      <c r="W91" s="3"/>
      <c r="X91" s="5"/>
      <c r="Y91" s="7"/>
      <c r="Z91" s="7"/>
      <c r="AA91" s="9"/>
      <c r="AB91" s="9"/>
      <c r="AC91" s="9"/>
      <c r="AD91" s="6"/>
    </row>
    <row r="92" spans="1:30" ht="24.95" customHeight="1">
      <c r="A92" s="31" t="s">
        <v>132</v>
      </c>
      <c r="B92" s="32" t="s">
        <v>14</v>
      </c>
      <c r="C92" s="32" t="s">
        <v>26</v>
      </c>
      <c r="D92" s="23">
        <v>46105.708333333343</v>
      </c>
      <c r="E92" s="23">
        <v>46107.220833333333</v>
      </c>
      <c r="F92" s="23">
        <v>46107.387499999997</v>
      </c>
      <c r="G92" s="23">
        <v>46112.1875</v>
      </c>
      <c r="H92" s="23">
        <v>46107.554166666669</v>
      </c>
      <c r="I92" s="23">
        <v>46110</v>
      </c>
      <c r="J92" s="34" t="s">
        <v>33</v>
      </c>
      <c r="K92" s="36" t="s">
        <v>86</v>
      </c>
      <c r="L92" s="33">
        <f>(Table8[[#This Row],[Garage_Booked_DateTime]] - Table8[[#This Row],[Defect_Reported_DateTime]])*24</f>
        <v>36.299999999755528</v>
      </c>
      <c r="M92" s="33" t="str">
        <f>IF(Table8[[#This Row],[Vehicle_Type]]&lt;&gt;"Specialised", "Not Applicable", IF(Table8[[#This Row],[Hours_To_Book]]&gt;48, "Yes", "No"))</f>
        <v>No</v>
      </c>
      <c r="N92" s="35">
        <f>(Table8[[#This Row],[Garage_Out_Date]]-Table8[[#This Row],[Garage_In_Date]])</f>
        <v>4.8000000000029104</v>
      </c>
      <c r="O92" s="35" t="str">
        <f>IF(Table8[[#This Row],[Total_VOR_Days]] &gt;3.5, "Yes", "No")</f>
        <v>Yes</v>
      </c>
      <c r="P92" s="35" t="str">
        <f>IF(Table8[[#This Row],[Vehicle_Type]] &lt;&gt; "Specialised", "Not Applicable", IF(AND(Table8[[#This Row],[Hours_To_Book]] &lt;=48, Table8[[#This Row],[Total_VOR_Days]] &gt;3.5), "Ineffective", "Effective"))</f>
        <v>Ineffective</v>
      </c>
      <c r="Q92" s="53">
        <f>IF(OR(Table8[[#This Row],[Garage_In_Date]]="",Table8[[#This Row],[Actual_Repair_Start_Date]]=""),"N/A",(Table8[[#This Row],[Actual_Repair_Start_Date]]-Table8[[#This Row],[Garage_In_Date]])*24)</f>
        <v>4.0000000001164153</v>
      </c>
      <c r="R92" s="53" t="str">
        <f>_xlfn.XLOOKUP(Table8[[#This Row],[Vehicle_ID]],Table5[Vehicle_ID],Table5[MOT_Linked],"Not Found")</f>
        <v>No</v>
      </c>
      <c r="S92" s="53"/>
      <c r="T92" s="3"/>
      <c r="U92" s="3"/>
      <c r="V92" s="3"/>
      <c r="W92" s="3"/>
      <c r="X92" s="5"/>
      <c r="Y92" s="7"/>
      <c r="Z92" s="7"/>
      <c r="AA92" s="9"/>
      <c r="AB92" s="9"/>
      <c r="AC92" s="9"/>
      <c r="AD92" s="6"/>
    </row>
    <row r="93" spans="1:30" ht="24.95" customHeight="1">
      <c r="A93" s="37" t="s">
        <v>133</v>
      </c>
      <c r="B93" s="38" t="s">
        <v>21</v>
      </c>
      <c r="C93" s="38" t="s">
        <v>30</v>
      </c>
      <c r="D93" s="26">
        <v>46127.479166666657</v>
      </c>
      <c r="E93" s="26">
        <v>46130.01666666667</v>
      </c>
      <c r="F93" s="26">
        <v>46131.51666666667</v>
      </c>
      <c r="G93" s="26">
        <v>46139.51666666667</v>
      </c>
      <c r="H93" s="26">
        <v>46132.416666666657</v>
      </c>
      <c r="I93" s="26">
        <v>46139</v>
      </c>
      <c r="J93" s="40" t="s">
        <v>180</v>
      </c>
      <c r="K93" s="42" t="s">
        <v>35</v>
      </c>
      <c r="L93" s="39">
        <f>(Table8[[#This Row],[Garage_Booked_DateTime]] - Table8[[#This Row],[Defect_Reported_DateTime]])*24</f>
        <v>60.900000000314321</v>
      </c>
      <c r="M93" s="39" t="str">
        <f>IF(Table8[[#This Row],[Vehicle_Type]]&lt;&gt;"Specialised", "Not Applicable", IF(Table8[[#This Row],[Hours_To_Book]]&gt;48, "Yes", "No"))</f>
        <v>Not Applicable</v>
      </c>
      <c r="N93" s="41">
        <f>(Table8[[#This Row],[Garage_Out_Date]]-Table8[[#This Row],[Garage_In_Date]])</f>
        <v>8</v>
      </c>
      <c r="O93" s="41" t="str">
        <f>IF(Table8[[#This Row],[Total_VOR_Days]] &gt;3.5, "Yes", "No")</f>
        <v>Yes</v>
      </c>
      <c r="P93" s="41" t="str">
        <f>IF(Table8[[#This Row],[Vehicle_Type]] &lt;&gt; "Specialised", "Not Applicable", IF(AND(Table8[[#This Row],[Hours_To_Book]] &lt;=48, Table8[[#This Row],[Total_VOR_Days]] &gt;3.5), "Ineffective", "Effective"))</f>
        <v>Not Applicable</v>
      </c>
      <c r="Q93" s="53">
        <f>IF(OR(Table8[[#This Row],[Garage_In_Date]]="",Table8[[#This Row],[Actual_Repair_Start_Date]]=""),"N/A",(Table8[[#This Row],[Actual_Repair_Start_Date]]-Table8[[#This Row],[Garage_In_Date]])*24)</f>
        <v>21.599999999685679</v>
      </c>
      <c r="R93" s="53" t="str">
        <f>_xlfn.XLOOKUP(Table8[[#This Row],[Vehicle_ID]],Table5[Vehicle_ID],Table5[MOT_Linked],"Not Found")</f>
        <v>Yes</v>
      </c>
      <c r="S93" s="53"/>
      <c r="T93" s="3"/>
      <c r="U93" s="3"/>
      <c r="V93" s="3"/>
      <c r="W93" s="3"/>
      <c r="X93" s="5"/>
      <c r="Y93" s="7"/>
      <c r="Z93" s="7"/>
      <c r="AA93" s="9"/>
      <c r="AB93" s="9"/>
      <c r="AC93" s="9"/>
      <c r="AD93" s="6"/>
    </row>
    <row r="94" spans="1:30" ht="24.95" customHeight="1">
      <c r="A94" s="31" t="s">
        <v>134</v>
      </c>
      <c r="B94" s="32" t="s">
        <v>21</v>
      </c>
      <c r="C94" s="32" t="s">
        <v>15</v>
      </c>
      <c r="D94" s="23">
        <v>46107.34375</v>
      </c>
      <c r="E94" s="23">
        <v>46111.247916666667</v>
      </c>
      <c r="F94" s="23">
        <v>46111.414583333331</v>
      </c>
      <c r="G94" s="23">
        <v>46115.914583333331</v>
      </c>
      <c r="H94" s="23">
        <v>46111.414583333331</v>
      </c>
      <c r="I94" s="23">
        <v>46114</v>
      </c>
      <c r="J94" s="34" t="s">
        <v>33</v>
      </c>
      <c r="K94" s="36" t="s">
        <v>23</v>
      </c>
      <c r="L94" s="33">
        <f>(Table8[[#This Row],[Garage_Booked_DateTime]] - Table8[[#This Row],[Defect_Reported_DateTime]])*24</f>
        <v>93.700000000011642</v>
      </c>
      <c r="M94" s="33" t="str">
        <f>IF(Table8[[#This Row],[Vehicle_Type]]&lt;&gt;"Specialised", "Not Applicable", IF(Table8[[#This Row],[Hours_To_Book]]&gt;48, "Yes", "No"))</f>
        <v>Not Applicable</v>
      </c>
      <c r="N94" s="35">
        <f>(Table8[[#This Row],[Garage_Out_Date]]-Table8[[#This Row],[Garage_In_Date]])</f>
        <v>4.5</v>
      </c>
      <c r="O94" s="35" t="str">
        <f>IF(Table8[[#This Row],[Total_VOR_Days]] &gt;3.5, "Yes", "No")</f>
        <v>Yes</v>
      </c>
      <c r="P94" s="35" t="str">
        <f>IF(Table8[[#This Row],[Vehicle_Type]] &lt;&gt; "Specialised", "Not Applicable", IF(AND(Table8[[#This Row],[Hours_To_Book]] &lt;=48, Table8[[#This Row],[Total_VOR_Days]] &gt;3.5), "Ineffective", "Effective"))</f>
        <v>Not Applicable</v>
      </c>
      <c r="Q94" s="53">
        <f>IF(OR(Table8[[#This Row],[Garage_In_Date]]="",Table8[[#This Row],[Actual_Repair_Start_Date]]=""),"N/A",(Table8[[#This Row],[Actual_Repair_Start_Date]]-Table8[[#This Row],[Garage_In_Date]])*24)</f>
        <v>0</v>
      </c>
      <c r="R94" s="53" t="str">
        <f>_xlfn.XLOOKUP(Table8[[#This Row],[Vehicle_ID]],Table5[Vehicle_ID],Table5[MOT_Linked],"Not Found")</f>
        <v>Yes</v>
      </c>
      <c r="S94" s="53"/>
      <c r="T94" s="3"/>
      <c r="U94" s="3"/>
      <c r="V94" s="3"/>
      <c r="W94" s="3"/>
      <c r="X94" s="5"/>
      <c r="Y94" s="7"/>
      <c r="Z94" s="7"/>
      <c r="AA94" s="9"/>
      <c r="AB94" s="9"/>
      <c r="AC94" s="9"/>
      <c r="AD94" s="6"/>
    </row>
    <row r="95" spans="1:30" ht="24.95" customHeight="1">
      <c r="A95" s="37" t="s">
        <v>135</v>
      </c>
      <c r="B95" s="38" t="s">
        <v>14</v>
      </c>
      <c r="C95" s="38" t="s">
        <v>15</v>
      </c>
      <c r="D95" s="26">
        <v>46031.65625</v>
      </c>
      <c r="E95" s="26">
        <v>46032.939583333333</v>
      </c>
      <c r="F95" s="26">
        <v>46032.939583333333</v>
      </c>
      <c r="G95" s="26">
        <v>46034.739583333343</v>
      </c>
      <c r="H95" s="26">
        <v>46033.34375</v>
      </c>
      <c r="I95" s="26">
        <v>46034</v>
      </c>
      <c r="J95" s="40" t="s">
        <v>19</v>
      </c>
      <c r="K95" s="42" t="s">
        <v>27</v>
      </c>
      <c r="L95" s="39">
        <f>(Table8[[#This Row],[Garage_Booked_DateTime]] - Table8[[#This Row],[Defect_Reported_DateTime]])*24</f>
        <v>30.799999999988358</v>
      </c>
      <c r="M95" s="39" t="str">
        <f>IF(Table8[[#This Row],[Vehicle_Type]]&lt;&gt;"Specialised", "Not Applicable", IF(Table8[[#This Row],[Hours_To_Book]]&gt;48, "Yes", "No"))</f>
        <v>No</v>
      </c>
      <c r="N95" s="41">
        <f>(Table8[[#This Row],[Garage_Out_Date]]-Table8[[#This Row],[Garage_In_Date]])</f>
        <v>1.8000000000101863</v>
      </c>
      <c r="O95" s="41" t="str">
        <f>IF(Table8[[#This Row],[Total_VOR_Days]] &gt;3.5, "Yes", "No")</f>
        <v>No</v>
      </c>
      <c r="P95" s="41" t="str">
        <f>IF(Table8[[#This Row],[Vehicle_Type]] &lt;&gt; "Specialised", "Not Applicable", IF(AND(Table8[[#This Row],[Hours_To_Book]] &lt;=48, Table8[[#This Row],[Total_VOR_Days]] &gt;3.5), "Ineffective", "Effective"))</f>
        <v>Effective</v>
      </c>
      <c r="Q95" s="53">
        <f>IF(OR(Table8[[#This Row],[Garage_In_Date]]="",Table8[[#This Row],[Actual_Repair_Start_Date]]=""),"N/A",(Table8[[#This Row],[Actual_Repair_Start_Date]]-Table8[[#This Row],[Garage_In_Date]])*24)</f>
        <v>9.7000000000116415</v>
      </c>
      <c r="R95" s="53" t="str">
        <f>_xlfn.XLOOKUP(Table8[[#This Row],[Vehicle_ID]],Table5[Vehicle_ID],Table5[MOT_Linked],"Not Found")</f>
        <v>No</v>
      </c>
      <c r="S95" s="53"/>
      <c r="T95" s="3"/>
      <c r="U95" s="3"/>
      <c r="V95" s="3"/>
      <c r="W95" s="3"/>
      <c r="X95" s="5"/>
      <c r="Y95" s="7"/>
      <c r="Z95" s="7"/>
      <c r="AA95" s="9"/>
      <c r="AB95" s="9"/>
      <c r="AC95" s="9"/>
      <c r="AD95" s="6"/>
    </row>
    <row r="96" spans="1:30" ht="24.95" customHeight="1">
      <c r="A96" s="31" t="s">
        <v>136</v>
      </c>
      <c r="B96" s="32" t="s">
        <v>14</v>
      </c>
      <c r="C96" s="32" t="s">
        <v>30</v>
      </c>
      <c r="D96" s="23">
        <v>46026.364583333343</v>
      </c>
      <c r="E96" s="23">
        <v>46027.785416666673</v>
      </c>
      <c r="F96" s="23">
        <v>46027.785416666673</v>
      </c>
      <c r="G96" s="23">
        <v>46030.285416666673</v>
      </c>
      <c r="H96" s="23">
        <v>46028.46875</v>
      </c>
      <c r="I96" s="23">
        <v>46029</v>
      </c>
      <c r="J96" s="34" t="s">
        <v>19</v>
      </c>
      <c r="K96" s="36" t="s">
        <v>86</v>
      </c>
      <c r="L96" s="33">
        <f>(Table8[[#This Row],[Garage_Booked_DateTime]] - Table8[[#This Row],[Defect_Reported_DateTime]])*24</f>
        <v>34.099999999918509</v>
      </c>
      <c r="M96" s="33" t="str">
        <f>IF(Table8[[#This Row],[Vehicle_Type]]&lt;&gt;"Specialised", "Not Applicable", IF(Table8[[#This Row],[Hours_To_Book]]&gt;48, "Yes", "No"))</f>
        <v>No</v>
      </c>
      <c r="N96" s="35">
        <f>(Table8[[#This Row],[Garage_Out_Date]]-Table8[[#This Row],[Garage_In_Date]])</f>
        <v>2.5</v>
      </c>
      <c r="O96" s="35" t="str">
        <f>IF(Table8[[#This Row],[Total_VOR_Days]] &gt;3.5, "Yes", "No")</f>
        <v>No</v>
      </c>
      <c r="P96" s="35" t="str">
        <f>IF(Table8[[#This Row],[Vehicle_Type]] &lt;&gt; "Specialised", "Not Applicable", IF(AND(Table8[[#This Row],[Hours_To_Book]] &lt;=48, Table8[[#This Row],[Total_VOR_Days]] &gt;3.5), "Ineffective", "Effective"))</f>
        <v>Effective</v>
      </c>
      <c r="Q96" s="53">
        <f>IF(OR(Table8[[#This Row],[Garage_In_Date]]="",Table8[[#This Row],[Actual_Repair_Start_Date]]=""),"N/A",(Table8[[#This Row],[Actual_Repair_Start_Date]]-Table8[[#This Row],[Garage_In_Date]])*24)</f>
        <v>16.39999999984866</v>
      </c>
      <c r="R96" s="53" t="str">
        <f>_xlfn.XLOOKUP(Table8[[#This Row],[Vehicle_ID]],Table5[Vehicle_ID],Table5[MOT_Linked],"Not Found")</f>
        <v>No</v>
      </c>
      <c r="S96" s="53"/>
      <c r="T96" s="3"/>
      <c r="U96" s="3"/>
      <c r="V96" s="3"/>
      <c r="W96" s="3"/>
      <c r="X96" s="5"/>
      <c r="Y96" s="7"/>
      <c r="Z96" s="7"/>
      <c r="AA96" s="9"/>
      <c r="AB96" s="9"/>
      <c r="AC96" s="9"/>
      <c r="AD96" s="6"/>
    </row>
    <row r="97" spans="1:30" ht="24.95" customHeight="1">
      <c r="A97" s="37" t="s">
        <v>137</v>
      </c>
      <c r="B97" s="38" t="s">
        <v>14</v>
      </c>
      <c r="C97" s="38" t="s">
        <v>15</v>
      </c>
      <c r="D97" s="26">
        <v>46058.729166666657</v>
      </c>
      <c r="E97" s="26">
        <v>46059.587500000001</v>
      </c>
      <c r="F97" s="26">
        <v>46059.92083333333</v>
      </c>
      <c r="G97" s="26">
        <v>46065.92083333333</v>
      </c>
      <c r="H97" s="26">
        <v>46060.333333333343</v>
      </c>
      <c r="I97" s="26">
        <v>46065</v>
      </c>
      <c r="J97" s="40" t="s">
        <v>33</v>
      </c>
      <c r="K97" s="42" t="s">
        <v>27</v>
      </c>
      <c r="L97" s="39">
        <f>(Table8[[#This Row],[Garage_Booked_DateTime]] - Table8[[#This Row],[Defect_Reported_DateTime]])*24</f>
        <v>20.600000000267755</v>
      </c>
      <c r="M97" s="39" t="str">
        <f>IF(Table8[[#This Row],[Vehicle_Type]]&lt;&gt;"Specialised", "Not Applicable", IF(Table8[[#This Row],[Hours_To_Book]]&gt;48, "Yes", "No"))</f>
        <v>No</v>
      </c>
      <c r="N97" s="41">
        <f>(Table8[[#This Row],[Garage_Out_Date]]-Table8[[#This Row],[Garage_In_Date]])</f>
        <v>6</v>
      </c>
      <c r="O97" s="41" t="str">
        <f>IF(Table8[[#This Row],[Total_VOR_Days]] &gt;3.5, "Yes", "No")</f>
        <v>Yes</v>
      </c>
      <c r="P97" s="41" t="str">
        <f>IF(Table8[[#This Row],[Vehicle_Type]] &lt;&gt; "Specialised", "Not Applicable", IF(AND(Table8[[#This Row],[Hours_To_Book]] &lt;=48, Table8[[#This Row],[Total_VOR_Days]] &gt;3.5), "Ineffective", "Effective"))</f>
        <v>Ineffective</v>
      </c>
      <c r="Q97" s="53">
        <f>IF(OR(Table8[[#This Row],[Garage_In_Date]]="",Table8[[#This Row],[Actual_Repair_Start_Date]]=""),"N/A",(Table8[[#This Row],[Actual_Repair_Start_Date]]-Table8[[#This Row],[Garage_In_Date]])*24)</f>
        <v>9.9000000003143214</v>
      </c>
      <c r="R97" s="53" t="str">
        <f>_xlfn.XLOOKUP(Table8[[#This Row],[Vehicle_ID]],Table5[Vehicle_ID],Table5[MOT_Linked],"Not Found")</f>
        <v>No</v>
      </c>
      <c r="S97" s="53"/>
      <c r="T97" s="3"/>
      <c r="U97" s="3"/>
      <c r="V97" s="3"/>
      <c r="W97" s="3"/>
      <c r="X97" s="5"/>
      <c r="Y97" s="7"/>
      <c r="Z97" s="7"/>
      <c r="AA97" s="9"/>
      <c r="AB97" s="9"/>
      <c r="AC97" s="9"/>
      <c r="AD97" s="6"/>
    </row>
    <row r="98" spans="1:30" ht="24.95" customHeight="1">
      <c r="A98" s="31" t="s">
        <v>138</v>
      </c>
      <c r="B98" s="32" t="s">
        <v>21</v>
      </c>
      <c r="C98" s="32" t="s">
        <v>22</v>
      </c>
      <c r="D98" s="23">
        <v>46133.489583333343</v>
      </c>
      <c r="E98" s="23">
        <v>46135.152083333327</v>
      </c>
      <c r="F98" s="23">
        <v>46135.48541666667</v>
      </c>
      <c r="G98" s="23">
        <v>46140.085416666669</v>
      </c>
      <c r="H98" s="23">
        <v>46135.458333333343</v>
      </c>
      <c r="I98" s="23">
        <v>46138</v>
      </c>
      <c r="J98" s="34" t="s">
        <v>36</v>
      </c>
      <c r="K98" s="36" t="s">
        <v>89</v>
      </c>
      <c r="L98" s="33">
        <f>(Table8[[#This Row],[Garage_Booked_DateTime]] - Table8[[#This Row],[Defect_Reported_DateTime]])*24</f>
        <v>39.899999999615829</v>
      </c>
      <c r="M98" s="33" t="str">
        <f>IF(Table8[[#This Row],[Vehicle_Type]]&lt;&gt;"Specialised", "Not Applicable", IF(Table8[[#This Row],[Hours_To_Book]]&gt;48, "Yes", "No"))</f>
        <v>Not Applicable</v>
      </c>
      <c r="N98" s="35">
        <f>(Table8[[#This Row],[Garage_Out_Date]]-Table8[[#This Row],[Garage_In_Date]])</f>
        <v>4.5999999999985448</v>
      </c>
      <c r="O98" s="35" t="str">
        <f>IF(Table8[[#This Row],[Total_VOR_Days]] &gt;3.5, "Yes", "No")</f>
        <v>Yes</v>
      </c>
      <c r="P98" s="35" t="str">
        <f>IF(Table8[[#This Row],[Vehicle_Type]] &lt;&gt; "Specialised", "Not Applicable", IF(AND(Table8[[#This Row],[Hours_To_Book]] &lt;=48, Table8[[#This Row],[Total_VOR_Days]] &gt;3.5), "Ineffective", "Effective"))</f>
        <v>Not Applicable</v>
      </c>
      <c r="Q98" s="53">
        <f>IF(OR(Table8[[#This Row],[Garage_In_Date]]="",Table8[[#This Row],[Actual_Repair_Start_Date]]=""),"N/A",(Table8[[#This Row],[Actual_Repair_Start_Date]]-Table8[[#This Row],[Garage_In_Date]])*24)</f>
        <v>-0.64999999984866008</v>
      </c>
      <c r="R98" s="53" t="str">
        <f>_xlfn.XLOOKUP(Table8[[#This Row],[Vehicle_ID]],Table5[Vehicle_ID],Table5[MOT_Linked],"Not Found")</f>
        <v>No</v>
      </c>
      <c r="S98" s="53"/>
      <c r="T98" s="3"/>
      <c r="U98" s="3"/>
      <c r="V98" s="3"/>
      <c r="W98" s="3"/>
      <c r="X98" s="5"/>
      <c r="Y98" s="7"/>
      <c r="Z98" s="7"/>
      <c r="AA98" s="9"/>
      <c r="AB98" s="9"/>
      <c r="AC98" s="9"/>
      <c r="AD98" s="6"/>
    </row>
    <row r="99" spans="1:30" ht="24.95" customHeight="1">
      <c r="A99" s="37" t="s">
        <v>139</v>
      </c>
      <c r="B99" s="38" t="s">
        <v>14</v>
      </c>
      <c r="C99" s="38" t="s">
        <v>30</v>
      </c>
      <c r="D99" s="26">
        <v>46042.625</v>
      </c>
      <c r="E99" s="26">
        <v>46043.958333333343</v>
      </c>
      <c r="F99" s="26">
        <v>46044.958333333343</v>
      </c>
      <c r="G99" s="26">
        <v>46049.658333333333</v>
      </c>
      <c r="H99" s="26">
        <v>46045.125</v>
      </c>
      <c r="I99" s="26">
        <v>46048</v>
      </c>
      <c r="J99" s="40" t="s">
        <v>28</v>
      </c>
      <c r="K99" s="42" t="s">
        <v>86</v>
      </c>
      <c r="L99" s="39">
        <f>(Table8[[#This Row],[Garage_Booked_DateTime]] - Table8[[#This Row],[Defect_Reported_DateTime]])*24</f>
        <v>32.000000000232831</v>
      </c>
      <c r="M99" s="39" t="str">
        <f>IF(Table8[[#This Row],[Vehicle_Type]]&lt;&gt;"Specialised", "Not Applicable", IF(Table8[[#This Row],[Hours_To_Book]]&gt;48, "Yes", "No"))</f>
        <v>No</v>
      </c>
      <c r="N99" s="41">
        <f>(Table8[[#This Row],[Garage_Out_Date]]-Table8[[#This Row],[Garage_In_Date]])</f>
        <v>4.6999999999898137</v>
      </c>
      <c r="O99" s="41" t="str">
        <f>IF(Table8[[#This Row],[Total_VOR_Days]] &gt;3.5, "Yes", "No")</f>
        <v>Yes</v>
      </c>
      <c r="P99" s="41" t="str">
        <f>IF(Table8[[#This Row],[Vehicle_Type]] &lt;&gt; "Specialised", "Not Applicable", IF(AND(Table8[[#This Row],[Hours_To_Book]] &lt;=48, Table8[[#This Row],[Total_VOR_Days]] &gt;3.5), "Ineffective", "Effective"))</f>
        <v>Ineffective</v>
      </c>
      <c r="Q99" s="53">
        <f>IF(OR(Table8[[#This Row],[Garage_In_Date]]="",Table8[[#This Row],[Actual_Repair_Start_Date]]=""),"N/A",(Table8[[#This Row],[Actual_Repair_Start_Date]]-Table8[[#This Row],[Garage_In_Date]])*24)</f>
        <v>3.9999999997671694</v>
      </c>
      <c r="R99" s="53" t="str">
        <f>_xlfn.XLOOKUP(Table8[[#This Row],[Vehicle_ID]],Table5[Vehicle_ID],Table5[MOT_Linked],"Not Found")</f>
        <v>No</v>
      </c>
      <c r="S99" s="53"/>
      <c r="T99" s="3"/>
      <c r="U99" s="3"/>
      <c r="V99" s="3"/>
      <c r="W99" s="3"/>
      <c r="X99" s="5"/>
      <c r="Y99" s="7"/>
      <c r="Z99" s="7"/>
      <c r="AA99" s="9"/>
      <c r="AB99" s="9"/>
      <c r="AC99" s="9"/>
      <c r="AD99" s="6"/>
    </row>
    <row r="100" spans="1:30" ht="24.95" customHeight="1">
      <c r="A100" s="31" t="s">
        <v>140</v>
      </c>
      <c r="B100" s="32" t="s">
        <v>21</v>
      </c>
      <c r="C100" s="32" t="s">
        <v>42</v>
      </c>
      <c r="D100" s="23">
        <v>46094.541666666657</v>
      </c>
      <c r="E100" s="23">
        <v>46095.254166666673</v>
      </c>
      <c r="F100" s="23">
        <v>46096.254166666673</v>
      </c>
      <c r="G100" s="23">
        <v>46102.654166666667</v>
      </c>
      <c r="H100" s="23">
        <v>46096.479166666657</v>
      </c>
      <c r="I100" s="23">
        <v>46100</v>
      </c>
      <c r="J100" s="34" t="s">
        <v>184</v>
      </c>
      <c r="K100" s="36" t="s">
        <v>89</v>
      </c>
      <c r="L100" s="33">
        <f>(Table8[[#This Row],[Garage_Booked_DateTime]] - Table8[[#This Row],[Defect_Reported_DateTime]])*24</f>
        <v>17.100000000384171</v>
      </c>
      <c r="M100" s="33" t="str">
        <f>IF(Table8[[#This Row],[Vehicle_Type]]&lt;&gt;"Specialised", "Not Applicable", IF(Table8[[#This Row],[Hours_To_Book]]&gt;48, "Yes", "No"))</f>
        <v>Not Applicable</v>
      </c>
      <c r="N100" s="35">
        <f>(Table8[[#This Row],[Garage_Out_Date]]-Table8[[#This Row],[Garage_In_Date]])</f>
        <v>6.3999999999941792</v>
      </c>
      <c r="O100" s="35" t="str">
        <f>IF(Table8[[#This Row],[Total_VOR_Days]] &gt;3.5, "Yes", "No")</f>
        <v>Yes</v>
      </c>
      <c r="P100" s="35" t="str">
        <f>IF(Table8[[#This Row],[Vehicle_Type]] &lt;&gt; "Specialised", "Not Applicable", IF(AND(Table8[[#This Row],[Hours_To_Book]] &lt;=48, Table8[[#This Row],[Total_VOR_Days]] &gt;3.5), "Ineffective", "Effective"))</f>
        <v>Not Applicable</v>
      </c>
      <c r="Q100" s="53">
        <f>IF(OR(Table8[[#This Row],[Garage_In_Date]]="",Table8[[#This Row],[Actual_Repair_Start_Date]]=""),"N/A",(Table8[[#This Row],[Actual_Repair_Start_Date]]-Table8[[#This Row],[Garage_In_Date]])*24)</f>
        <v>5.3999999996158294</v>
      </c>
      <c r="R100" s="53" t="str">
        <f>_xlfn.XLOOKUP(Table8[[#This Row],[Vehicle_ID]],Table5[Vehicle_ID],Table5[MOT_Linked],"Not Found")</f>
        <v>No</v>
      </c>
      <c r="S100" s="53"/>
      <c r="T100" s="3"/>
      <c r="U100" s="3"/>
      <c r="V100" s="3"/>
      <c r="W100" s="3"/>
      <c r="X100" s="5"/>
      <c r="Y100" s="7"/>
      <c r="Z100" s="7"/>
      <c r="AA100" s="9"/>
      <c r="AB100" s="9"/>
      <c r="AC100" s="9"/>
      <c r="AD100" s="6"/>
    </row>
    <row r="101" spans="1:30" ht="24.95" customHeight="1">
      <c r="A101" s="37" t="s">
        <v>141</v>
      </c>
      <c r="B101" s="38" t="s">
        <v>21</v>
      </c>
      <c r="C101" s="38" t="s">
        <v>15</v>
      </c>
      <c r="D101" s="26">
        <v>46096.677083333343</v>
      </c>
      <c r="E101" s="26">
        <v>46099.560416666667</v>
      </c>
      <c r="F101" s="26">
        <v>46099.560416666667</v>
      </c>
      <c r="G101" s="26">
        <v>46105.660416666673</v>
      </c>
      <c r="H101" s="26">
        <v>46101.458333333343</v>
      </c>
      <c r="I101" s="26">
        <v>46106</v>
      </c>
      <c r="J101" s="40" t="s">
        <v>184</v>
      </c>
      <c r="K101" s="42" t="s">
        <v>48</v>
      </c>
      <c r="L101" s="39">
        <f>(Table8[[#This Row],[Garage_Booked_DateTime]] - Table8[[#This Row],[Defect_Reported_DateTime]])*24</f>
        <v>69.199999999778811</v>
      </c>
      <c r="M101" s="39" t="str">
        <f>IF(Table8[[#This Row],[Vehicle_Type]]&lt;&gt;"Specialised", "Not Applicable", IF(Table8[[#This Row],[Hours_To_Book]]&gt;48, "Yes", "No"))</f>
        <v>Not Applicable</v>
      </c>
      <c r="N101" s="41">
        <f>(Table8[[#This Row],[Garage_Out_Date]]-Table8[[#This Row],[Garage_In_Date]])</f>
        <v>6.1000000000058208</v>
      </c>
      <c r="O101" s="41" t="str">
        <f>IF(Table8[[#This Row],[Total_VOR_Days]] &gt;3.5, "Yes", "No")</f>
        <v>Yes</v>
      </c>
      <c r="P101" s="41" t="str">
        <f>IF(Table8[[#This Row],[Vehicle_Type]] &lt;&gt; "Specialised", "Not Applicable", IF(AND(Table8[[#This Row],[Hours_To_Book]] &lt;=48, Table8[[#This Row],[Total_VOR_Days]] &gt;3.5), "Ineffective", "Effective"))</f>
        <v>Not Applicable</v>
      </c>
      <c r="Q101" s="53">
        <f>IF(OR(Table8[[#This Row],[Garage_In_Date]]="",Table8[[#This Row],[Actual_Repair_Start_Date]]=""),"N/A",(Table8[[#This Row],[Actual_Repair_Start_Date]]-Table8[[#This Row],[Garage_In_Date]])*24)</f>
        <v>45.550000000221189</v>
      </c>
      <c r="R101" s="53" t="str">
        <f>_xlfn.XLOOKUP(Table8[[#This Row],[Vehicle_ID]],Table5[Vehicle_ID],Table5[MOT_Linked],"Not Found")</f>
        <v>No</v>
      </c>
      <c r="S101" s="53"/>
      <c r="T101" s="3"/>
      <c r="U101" s="3"/>
      <c r="V101" s="3"/>
      <c r="W101" s="3"/>
      <c r="X101" s="5"/>
      <c r="Y101" s="7"/>
      <c r="Z101" s="7"/>
      <c r="AA101" s="9"/>
      <c r="AB101" s="9"/>
      <c r="AC101" s="9"/>
      <c r="AD101" s="6"/>
    </row>
    <row r="102" spans="1:30" ht="24.95" customHeight="1">
      <c r="A102" s="37"/>
      <c r="B102" s="38"/>
      <c r="C102" s="38"/>
      <c r="D102" s="26"/>
      <c r="E102" s="26"/>
      <c r="F102" s="26"/>
      <c r="G102" s="26"/>
      <c r="H102" s="26"/>
      <c r="I102" s="26"/>
      <c r="J102" s="86">
        <f>AVERAGEIF(Table8[Primary_Delay_Reason],"Parts on Backorder",Table8[Total_VOR_Days])</f>
        <v>6.1999999999990303</v>
      </c>
      <c r="K102" s="42"/>
      <c r="L102" s="39"/>
      <c r="M102" s="39"/>
      <c r="N102" s="41"/>
      <c r="O102" s="41"/>
      <c r="P102" s="41"/>
      <c r="Q102" s="41"/>
      <c r="R102" s="41"/>
      <c r="S102" s="41"/>
    </row>
  </sheetData>
  <phoneticPr fontId="7" type="noConversion"/>
  <conditionalFormatting sqref="M1:M101">
    <cfRule type="containsText" dxfId="7" priority="4" operator="containsText" text="Yes">
      <formula>NOT(ISERROR(SEARCH("Yes",M1)))</formula>
    </cfRule>
  </conditionalFormatting>
  <conditionalFormatting sqref="M103:M1048576">
    <cfRule type="containsText" dxfId="6" priority="12" operator="containsText" text="Yes">
      <formula>NOT(ISERROR(SEARCH("Yes",M103)))</formula>
    </cfRule>
  </conditionalFormatting>
  <conditionalFormatting sqref="O1:O101">
    <cfRule type="containsText" dxfId="5" priority="3" operator="containsText" text="Yes">
      <formula>NOT(ISERROR(SEARCH("Yes",O1)))</formula>
    </cfRule>
  </conditionalFormatting>
  <conditionalFormatting sqref="O103:O1048576">
    <cfRule type="containsText" dxfId="4" priority="11" operator="containsText" text="Yes">
      <formula>NOT(ISERROR(SEARCH("Yes",O103)))</formula>
    </cfRule>
  </conditionalFormatting>
  <conditionalFormatting sqref="P1:P101">
    <cfRule type="cellIs" dxfId="3" priority="1" operator="equal">
      <formula>"Ineffective"</formula>
    </cfRule>
    <cfRule type="cellIs" dxfId="2" priority="2" operator="equal">
      <formula>"Effective"</formula>
    </cfRule>
  </conditionalFormatting>
  <conditionalFormatting sqref="P103:P1048576">
    <cfRule type="cellIs" dxfId="1" priority="9" operator="equal">
      <formula>"Ineffective"</formula>
    </cfRule>
    <cfRule type="cellIs" dxfId="0" priority="10" operator="equal">
      <formula>"Effective"</formula>
    </cfRule>
  </conditionalFormatting>
  <pageMargins left="0.7" right="0.7" top="0.75" bottom="0.75" header="0.3" footer="0.3"/>
  <pageSetup paperSize="9" orientation="portrait" horizontalDpi="4294967292" verticalDpi="12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showGridLines="0" workbookViewId="0">
      <selection activeCell="A17" sqref="A17"/>
    </sheetView>
  </sheetViews>
  <sheetFormatPr defaultRowHeight="14.25"/>
  <cols>
    <col min="1" max="1" width="107.625" customWidth="1"/>
    <col min="2" max="2" width="92.625" customWidth="1"/>
  </cols>
  <sheetData>
    <row r="1" spans="1:2" ht="15" customHeight="1">
      <c r="A1" s="2" t="s">
        <v>144</v>
      </c>
      <c r="B1" s="2" t="s">
        <v>145</v>
      </c>
    </row>
    <row r="2" spans="1:2">
      <c r="A2" s="8" t="s">
        <v>146</v>
      </c>
      <c r="B2" s="8" t="s">
        <v>147</v>
      </c>
    </row>
    <row r="3" spans="1:2">
      <c r="A3" s="8" t="s">
        <v>148</v>
      </c>
      <c r="B3" s="8" t="s">
        <v>149</v>
      </c>
    </row>
    <row r="4" spans="1:2">
      <c r="A4" s="8" t="s">
        <v>150</v>
      </c>
      <c r="B4" s="8" t="s">
        <v>151</v>
      </c>
    </row>
    <row r="5" spans="1:2">
      <c r="A5" s="8" t="s">
        <v>152</v>
      </c>
      <c r="B5" s="8" t="s">
        <v>153</v>
      </c>
    </row>
    <row r="6" spans="1:2">
      <c r="A6" s="8" t="s">
        <v>154</v>
      </c>
      <c r="B6" s="8" t="s">
        <v>155</v>
      </c>
    </row>
    <row r="7" spans="1:2">
      <c r="A7" s="8" t="s">
        <v>156</v>
      </c>
      <c r="B7" s="8" t="s">
        <v>157</v>
      </c>
    </row>
    <row r="8" spans="1:2">
      <c r="A8" s="8"/>
      <c r="B8" s="8"/>
    </row>
    <row r="9" spans="1:2">
      <c r="A9" s="8"/>
      <c r="B9" s="8"/>
    </row>
  </sheetData>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J36"/>
  <sheetViews>
    <sheetView showGridLines="0" topLeftCell="A8" workbookViewId="0">
      <selection activeCell="B13" sqref="B13"/>
    </sheetView>
  </sheetViews>
  <sheetFormatPr defaultColWidth="22" defaultRowHeight="14.25"/>
  <cols>
    <col min="1" max="1" width="13" customWidth="1"/>
    <col min="2" max="2" width="14.875" customWidth="1"/>
    <col min="3" max="3" width="14.625" customWidth="1"/>
    <col min="4" max="4" width="20.375" customWidth="1"/>
    <col min="5" max="5" width="19" customWidth="1"/>
    <col min="8" max="8" width="56.625" customWidth="1"/>
    <col min="10" max="10" width="22" customWidth="1"/>
  </cols>
  <sheetData>
    <row r="2" spans="2:8" ht="20.25" customHeight="1">
      <c r="B2" s="89" t="s">
        <v>175</v>
      </c>
      <c r="C2" s="89"/>
      <c r="D2" s="90"/>
      <c r="E2" s="90"/>
    </row>
    <row r="3" spans="2:8" ht="20.25" customHeight="1">
      <c r="B3" s="89"/>
      <c r="C3" s="89"/>
      <c r="D3" s="90"/>
      <c r="E3" s="90"/>
    </row>
    <row r="4" spans="2:8" ht="20.25" customHeight="1">
      <c r="B4" s="89">
        <v>4.0999999999999996</v>
      </c>
      <c r="C4" s="89"/>
    </row>
    <row r="5" spans="2:8" ht="20.25" customHeight="1">
      <c r="B5" s="65"/>
      <c r="C5" s="65"/>
      <c r="D5" s="65"/>
    </row>
    <row r="6" spans="2:8" ht="20.25" customHeight="1">
      <c r="E6" s="87" t="s">
        <v>159</v>
      </c>
      <c r="F6" s="88"/>
      <c r="G6" s="88"/>
      <c r="H6" s="88"/>
    </row>
    <row r="7" spans="2:8" ht="20.25" customHeight="1">
      <c r="E7" s="18"/>
    </row>
    <row r="9" spans="2:8" ht="15" customHeight="1">
      <c r="D9" s="14" t="s">
        <v>160</v>
      </c>
      <c r="E9" s="16" t="s">
        <v>161</v>
      </c>
      <c r="F9" s="16" t="s">
        <v>162</v>
      </c>
    </row>
    <row r="10" spans="2:8" ht="44.25" customHeight="1">
      <c r="D10" s="14" t="s">
        <v>164</v>
      </c>
      <c r="E10" s="60" t="s">
        <v>165</v>
      </c>
      <c r="F10" s="60" t="s">
        <v>166</v>
      </c>
      <c r="G10" s="2"/>
    </row>
    <row r="11" spans="2:8" ht="15" customHeight="1">
      <c r="D11" s="15" t="s">
        <v>168</v>
      </c>
      <c r="E11" s="63">
        <f>AVERAGEIF(Cleaned_Data!B:B,"Specialised",Cleaned_Data!L:L)</f>
        <v>33.954285714253118</v>
      </c>
      <c r="F11" s="63">
        <f>AVERAGEIF(Cleaned_Data!B:B,"Standard",Cleaned_Data!L:L)</f>
        <v>54.247692307685682</v>
      </c>
      <c r="G11" s="2"/>
    </row>
    <row r="12" spans="2:8" ht="15" customHeight="1">
      <c r="D12" s="14" t="s">
        <v>169</v>
      </c>
      <c r="E12" s="61">
        <v>0.94</v>
      </c>
      <c r="F12" s="60" t="s">
        <v>170</v>
      </c>
    </row>
    <row r="13" spans="2:8" ht="24.75" customHeight="1">
      <c r="D13" s="14" t="s">
        <v>171</v>
      </c>
      <c r="E13" s="62">
        <v>5.7000000000000002E-2</v>
      </c>
      <c r="F13" s="60" t="s">
        <v>170</v>
      </c>
    </row>
    <row r="14" spans="2:8" ht="43.5" customHeight="1">
      <c r="D14" s="14" t="s">
        <v>173</v>
      </c>
      <c r="E14" s="60">
        <v>3.5</v>
      </c>
      <c r="F14" s="60">
        <v>3.5</v>
      </c>
    </row>
    <row r="15" spans="2:8" ht="15" customHeight="1">
      <c r="D15" s="15" t="s">
        <v>175</v>
      </c>
      <c r="E15" s="60">
        <f>AVERAGEIF(Cleaned_Data!B:B,"Specialised",Cleaned_Data!N:N)</f>
        <v>3.914285714284675</v>
      </c>
      <c r="F15" s="60">
        <f>AVERAGEIF(Cleaned_Data!B:B,"Standard",Cleaned_Data!N:N)</f>
        <v>4.4676923076916584</v>
      </c>
    </row>
    <row r="16" spans="2:8" ht="15" customHeight="1">
      <c r="D16" s="15" t="s">
        <v>176</v>
      </c>
      <c r="E16" s="62">
        <f>13/35</f>
        <v>0.37142857142857144</v>
      </c>
      <c r="F16" s="62">
        <f>24/65</f>
        <v>0.36923076923076925</v>
      </c>
    </row>
    <row r="17" spans="4:10" ht="43.5" customHeight="1">
      <c r="D17" s="13" t="s">
        <v>178</v>
      </c>
      <c r="E17" s="59">
        <f>22/35</f>
        <v>0.62857142857142856</v>
      </c>
      <c r="F17" s="59">
        <f>(65-24)/65</f>
        <v>0.63076923076923075</v>
      </c>
    </row>
    <row r="19" spans="4:10" ht="18.75" customHeight="1"/>
    <row r="20" spans="4:10" ht="21" customHeight="1">
      <c r="D20" s="2" t="s">
        <v>186</v>
      </c>
    </row>
    <row r="21" spans="4:10" ht="46.5" customHeight="1">
      <c r="D21" s="54"/>
      <c r="E21" s="13"/>
      <c r="G21" s="55" t="s">
        <v>195</v>
      </c>
      <c r="H21" s="58"/>
      <c r="J21" s="10" t="s">
        <v>163</v>
      </c>
    </row>
    <row r="22" spans="4:10" ht="86.25">
      <c r="D22" s="55" t="s">
        <v>160</v>
      </c>
      <c r="E22" s="56" t="s">
        <v>187</v>
      </c>
      <c r="G22" s="54"/>
      <c r="H22" s="58"/>
      <c r="J22" s="11" t="s">
        <v>167</v>
      </c>
    </row>
    <row r="23" spans="4:10" ht="15">
      <c r="D23" s="54" t="s">
        <v>188</v>
      </c>
      <c r="E23" s="57">
        <f>AVERAGEIF(Cleaned_Data!Q2:Q101,"&lt;&gt;N/A",Cleaned_Data!Q2:Q101)</f>
        <v>14.25202020198269</v>
      </c>
      <c r="G23" s="55" t="s">
        <v>196</v>
      </c>
      <c r="H23" s="56" t="s">
        <v>197</v>
      </c>
      <c r="J23" s="10"/>
    </row>
    <row r="24" spans="4:10" ht="45">
      <c r="D24" s="12" t="s">
        <v>189</v>
      </c>
      <c r="E24" s="12">
        <f>COUNTIF(Cleaned_Data!Q2:Q101,"&gt;0")</f>
        <v>71</v>
      </c>
      <c r="G24" s="54" t="s">
        <v>31</v>
      </c>
      <c r="H24" s="57">
        <f>AVERAGEIFS(Cleaned_Data!Q:Q,Cleaned_Data!K:K,"15 Yemen Rd Garage",Cleaned_Data!Q:Q,"&lt;&gt;N/A")</f>
        <v>15.666666666627862</v>
      </c>
      <c r="J24" s="10" t="s">
        <v>172</v>
      </c>
    </row>
    <row r="25" spans="4:10" ht="15">
      <c r="D25" s="12" t="s">
        <v>190</v>
      </c>
      <c r="E25" s="12">
        <f>COUNTIF(Cleaned_Data!Q2:Q101,"&lt;=0")</f>
        <v>28</v>
      </c>
      <c r="G25" s="54" t="s">
        <v>27</v>
      </c>
      <c r="H25" s="57">
        <f>AVERAGEIFS(Cleaned_Data!Q:Q,Cleaned_Data!K:K,"Central Perk Repairs",Cleaned_Data!Q:Q,"&lt;&gt;N/A")</f>
        <v>14.576666666625533</v>
      </c>
      <c r="J25" s="10"/>
    </row>
    <row r="26" spans="4:10" ht="114">
      <c r="D26" s="12" t="s">
        <v>191</v>
      </c>
      <c r="E26" s="12">
        <f>COUNTIF(Cleaned_Data!Q2:Q101,"N/A")</f>
        <v>1</v>
      </c>
      <c r="G26" s="54" t="s">
        <v>44</v>
      </c>
      <c r="H26" s="57">
        <f>AVERAGEIFS(Cleaned_Data!Q:Q,Cleaned_Data!K:K,"Dr Drake Ramoray Autos",Cleaned_Data!Q:Q,"&lt;&gt;N/A")</f>
        <v>17.59499999990221</v>
      </c>
      <c r="J26" s="11" t="s">
        <v>174</v>
      </c>
    </row>
    <row r="27" spans="4:10">
      <c r="D27" s="12" t="s">
        <v>192</v>
      </c>
      <c r="E27" s="12">
        <f>COUNTIF(Cleaned_Data!Q2:Q101,"&lt;&gt;N/A")</f>
        <v>99</v>
      </c>
      <c r="G27" s="54" t="s">
        <v>23</v>
      </c>
      <c r="H27" s="57">
        <f>AVERAGEIFS(Cleaned_Data!Q:Q,Cleaned_Data!K:K,"Geller Repair Shop",Cleaned_Data!Q:Q,"&lt;&gt;N/A")</f>
        <v>12.127777777806235</v>
      </c>
      <c r="J27" s="12"/>
    </row>
    <row r="28" spans="4:10" ht="15">
      <c r="D28" s="54" t="s">
        <v>193</v>
      </c>
      <c r="E28" s="59">
        <f>IF(E27&gt;0,E24/E27,"N/A")</f>
        <v>0.71717171717171713</v>
      </c>
      <c r="G28" s="54" t="s">
        <v>18</v>
      </c>
      <c r="H28" s="57">
        <f>AVERAGEIFS(Cleaned_Data!Q:Q,Cleaned_Data!K:K,"Joey Special Auto Centre",Cleaned_Data!Q:Q,"&lt;&gt;N/A")</f>
        <v>6.3874999999970896</v>
      </c>
      <c r="J28" s="10" t="s">
        <v>177</v>
      </c>
    </row>
    <row r="29" spans="4:10" ht="114">
      <c r="D29" s="54" t="s">
        <v>194</v>
      </c>
      <c r="E29" s="57">
        <f>E23/24</f>
        <v>0.59383417508261205</v>
      </c>
      <c r="G29" s="54" t="s">
        <v>86</v>
      </c>
      <c r="H29" s="57">
        <f>AVERAGEIFS(Cleaned_Data!Q:Q,Cleaned_Data!K:K,"Miss Chanandler Bong Garage",Cleaned_Data!Q:Q,"&lt;&gt;N/A")</f>
        <v>16.291666666598758</v>
      </c>
      <c r="J29" s="11" t="s">
        <v>179</v>
      </c>
    </row>
    <row r="30" spans="4:10">
      <c r="D30" s="5"/>
      <c r="E30" s="3"/>
      <c r="G30" s="54" t="s">
        <v>48</v>
      </c>
      <c r="H30" s="57">
        <f>AVERAGEIFS(Cleaned_Data!Q:Q,Cleaned_Data!K:K,"Mississippilessly Repairs",Cleaned_Data!Q:Q,"&lt;&gt;N/A")</f>
        <v>11.89000000009546</v>
      </c>
    </row>
    <row r="31" spans="4:10">
      <c r="G31" s="54" t="s">
        <v>38</v>
      </c>
      <c r="H31" s="57">
        <f>AVERAGEIFS(Cleaned_Data!Q:Q,Cleaned_Data!K:K,"PIVOT Garage Repairs",Cleaned_Data!Q:Q,"&lt;&gt;N/A")</f>
        <v>14.815384615333572</v>
      </c>
    </row>
    <row r="32" spans="4:10">
      <c r="G32" s="54" t="s">
        <v>35</v>
      </c>
      <c r="H32" s="57">
        <f>AVERAGEIFS(Cleaned_Data!Q:Q,Cleaned_Data!K:K,"Princess Consuela Auto Centre",Cleaned_Data!Q:Q,"&lt;&gt;N/A")</f>
        <v>21.03846153838542</v>
      </c>
    </row>
    <row r="33" spans="4:8">
      <c r="G33" s="54" t="s">
        <v>89</v>
      </c>
      <c r="H33" s="57">
        <f>AVERAGEIFS(Cleaned_Data!Q:Q,Cleaned_Data!K:K,"Rachel Greep Workshop",Cleaned_Data!Q:Q,"&lt;&gt;N/A")</f>
        <v>5.391666666517267</v>
      </c>
    </row>
    <row r="34" spans="4:8">
      <c r="G34" s="5"/>
      <c r="H34" s="4"/>
    </row>
    <row r="35" spans="4:8">
      <c r="G35" s="5"/>
      <c r="H35" s="4"/>
    </row>
    <row r="36" spans="4:8" ht="228">
      <c r="D36" s="64" t="s">
        <v>198</v>
      </c>
      <c r="G36" s="5"/>
      <c r="H36" s="4"/>
    </row>
  </sheetData>
  <mergeCells count="4">
    <mergeCell ref="E6:H6"/>
    <mergeCell ref="B2:C3"/>
    <mergeCell ref="B4:C4"/>
    <mergeCell ref="D2:E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076E5-0CB4-42EC-A808-D5758DEDD1E8}">
  <dimension ref="B2:L33"/>
  <sheetViews>
    <sheetView showGridLines="0" workbookViewId="0">
      <selection activeCell="F4" sqref="F4"/>
    </sheetView>
  </sheetViews>
  <sheetFormatPr defaultRowHeight="14.25"/>
  <cols>
    <col min="1" max="1" width="3.375" customWidth="1"/>
    <col min="2" max="2" width="16.625" customWidth="1"/>
    <col min="3" max="3" width="8.75" customWidth="1"/>
    <col min="4" max="4" width="16.625" customWidth="1"/>
    <col min="5" max="5" width="3.375" customWidth="1"/>
    <col min="6" max="6" width="19.375" customWidth="1"/>
    <col min="7" max="7" width="3.375" customWidth="1"/>
    <col min="8" max="8" width="16.625" customWidth="1"/>
    <col min="9" max="9" width="3.375" customWidth="1"/>
    <col min="10" max="10" width="16.625" customWidth="1"/>
    <col min="11" max="11" width="3.375" customWidth="1"/>
    <col min="12" max="12" width="16.625" customWidth="1"/>
  </cols>
  <sheetData>
    <row r="2" spans="2:12" ht="23.25">
      <c r="B2" s="66" t="s">
        <v>199</v>
      </c>
    </row>
    <row r="4" spans="2:12">
      <c r="B4" s="67" t="s">
        <v>200</v>
      </c>
      <c r="D4" s="69" t="s">
        <v>201</v>
      </c>
      <c r="F4" s="71" t="s">
        <v>176</v>
      </c>
      <c r="H4" s="73" t="s">
        <v>178</v>
      </c>
      <c r="J4" s="75" t="s">
        <v>202</v>
      </c>
      <c r="L4" s="77" t="s">
        <v>203</v>
      </c>
    </row>
    <row r="5" spans="2:12" ht="30">
      <c r="B5" s="68">
        <f>COUNTA(Table8[Vehicle_ID])</f>
        <v>100</v>
      </c>
      <c r="D5" s="70">
        <f>ROUND(AVERAGE(Table8[Total_VOR_Days]),1)</f>
        <v>4.3</v>
      </c>
      <c r="F5" s="72">
        <f>COUNTIF(Table8[VOR_SLA_Breached?],"No")/COUNTA(Table8[Vehicle_ID])</f>
        <v>0.38</v>
      </c>
      <c r="H5" s="74">
        <f>COUNTIF(Table8[VOR_SLA_Breached?],"Yes")/COUNTA(Table8[Vehicle_ID])</f>
        <v>0.62</v>
      </c>
      <c r="J5" s="76">
        <f>COUNTIF(Table8[Booking_SLA_Breached?],"Yes")/COUNTIF(Table8[Vehicle_Type],"Specialised")</f>
        <v>5.7142857142857141E-2</v>
      </c>
      <c r="L5" s="78">
        <f>ROUND(AVERAGE(Table8[Hours_To_Book]),1)</f>
        <v>47.1</v>
      </c>
    </row>
    <row r="8" spans="2:12">
      <c r="B8" t="s">
        <v>204</v>
      </c>
      <c r="C8" t="s">
        <v>205</v>
      </c>
      <c r="F8" t="s">
        <v>196</v>
      </c>
      <c r="G8" t="s">
        <v>201</v>
      </c>
    </row>
    <row r="9" spans="2:12">
      <c r="B9" t="s">
        <v>206</v>
      </c>
      <c r="C9">
        <f>COUNTIF(Table8[VOR_SLA_Breached?],"No")</f>
        <v>38</v>
      </c>
      <c r="F9" t="s">
        <v>31</v>
      </c>
      <c r="G9">
        <f>AVERAGEIF(Table8[Garage_Name],"15 Yemen Rd Garage",Table8[Total_VOR_Days])</f>
        <v>3.3333333333300996</v>
      </c>
    </row>
    <row r="10" spans="2:12">
      <c r="B10" t="s">
        <v>207</v>
      </c>
      <c r="C10">
        <f>COUNTIF(Table8[VOR_SLA_Breached?],"Yes")</f>
        <v>62</v>
      </c>
      <c r="F10" t="s">
        <v>27</v>
      </c>
      <c r="G10">
        <f>AVERAGEIF(Table8[Garage_Name],"Central Perk Repairs",Table8[Total_VOR_Days])</f>
        <v>3.7066666666670547</v>
      </c>
    </row>
    <row r="11" spans="2:12">
      <c r="F11" t="s">
        <v>44</v>
      </c>
      <c r="G11">
        <f>AVERAGEIF(Table8[Garage_Name],"Dr Drake Ramoray Autos",Table8[Total_VOR_Days])</f>
        <v>4.1399999999979631</v>
      </c>
    </row>
    <row r="12" spans="2:12">
      <c r="F12" t="s">
        <v>23</v>
      </c>
      <c r="G12">
        <f>AVERAGEIF(Table8[Garage_Name],"Geller Repair Shop",Table8[Total_VOR_Days])</f>
        <v>4.2111111111128894</v>
      </c>
    </row>
    <row r="13" spans="2:12">
      <c r="F13" t="s">
        <v>18</v>
      </c>
      <c r="G13">
        <f>AVERAGEIF(Table8[Garage_Name],"Joey Special Auto Centre",Table8[Total_VOR_Days])</f>
        <v>4.844444444442666</v>
      </c>
    </row>
    <row r="14" spans="2:12">
      <c r="F14" t="s">
        <v>86</v>
      </c>
      <c r="G14">
        <f>AVERAGEIF(Table8[Garage_Name],"Miss Chanandler Bong Garage",Table8[Total_VOR_Days])</f>
        <v>3.4833333333323631</v>
      </c>
    </row>
    <row r="15" spans="2:12">
      <c r="F15" t="s">
        <v>48</v>
      </c>
      <c r="G15">
        <f>AVERAGEIF(Table8[Garage_Name],"Mississippilessly Repairs",Table8[Total_VOR_Days])</f>
        <v>5.78999999999869</v>
      </c>
    </row>
    <row r="16" spans="2:12">
      <c r="F16" t="s">
        <v>38</v>
      </c>
      <c r="G16">
        <f>AVERAGEIF(Table8[Garage_Name],"PIVOT Garage Repairs",Table8[Total_VOR_Days])</f>
        <v>3.7692307692302096</v>
      </c>
    </row>
    <row r="17" spans="2:7">
      <c r="F17" t="s">
        <v>35</v>
      </c>
      <c r="G17">
        <f>AVERAGEIF(Table8[Garage_Name],"Princess Consuela Auto Centre",Table8[Total_VOR_Days])</f>
        <v>4.9384615384601949</v>
      </c>
    </row>
    <row r="18" spans="2:7">
      <c r="F18" t="s">
        <v>89</v>
      </c>
      <c r="G18">
        <f>AVERAGEIF(Table8[Garage_Name],"Rachel Greep Workshop",Table8[Total_VOR_Days])</f>
        <v>4.4833333333347882</v>
      </c>
    </row>
    <row r="26" spans="2:7">
      <c r="B26" s="64" t="s">
        <v>208</v>
      </c>
      <c r="C26" s="79" t="s">
        <v>205</v>
      </c>
      <c r="D26" s="64"/>
    </row>
    <row r="27" spans="2:7">
      <c r="B27" s="64" t="s">
        <v>19</v>
      </c>
      <c r="C27" s="64">
        <f>COUNTIF(Table8[Primary_Delay_Reason],"None (On Time)")</f>
        <v>38</v>
      </c>
      <c r="D27" s="64"/>
    </row>
    <row r="28" spans="2:7" ht="28.5">
      <c r="B28" s="64" t="s">
        <v>36</v>
      </c>
      <c r="C28" s="64">
        <f>COUNTIF(Table8[Primary_Delay_Reason],"Parts on Backorder")</f>
        <v>15</v>
      </c>
      <c r="D28" s="64"/>
    </row>
    <row r="29" spans="2:7" ht="28.5">
      <c r="B29" s="64" t="s">
        <v>28</v>
      </c>
      <c r="C29" s="64">
        <f>COUNTIF(Table8[Primary_Delay_Reason],"Garage Capacity / Ramp Delay")</f>
        <v>12</v>
      </c>
      <c r="D29" s="64"/>
    </row>
    <row r="30" spans="2:7" ht="28.5">
      <c r="B30" s="64" t="s">
        <v>180</v>
      </c>
      <c r="C30" s="64">
        <f>COUNTIF(Table8[Primary_Delay_Reason],"Incorrect Job Scoping")</f>
        <v>10</v>
      </c>
      <c r="D30" s="64"/>
    </row>
    <row r="31" spans="2:7" ht="28.5">
      <c r="B31" s="64" t="s">
        <v>33</v>
      </c>
      <c r="C31" s="64">
        <f>COUNTIF(Table8[Primary_Delay_Reason],"Awaiting Client Authorization")</f>
        <v>14</v>
      </c>
      <c r="D31" s="64"/>
    </row>
    <row r="32" spans="2:7" ht="28.5">
      <c r="B32" s="64" t="s">
        <v>24</v>
      </c>
      <c r="C32" s="64">
        <f>COUNTIF(Table8[Primary_Delay_Reason],"Recovery Delivery Failure")</f>
        <v>0</v>
      </c>
      <c r="D32" s="64"/>
    </row>
    <row r="33" spans="2:4" ht="28.5">
      <c r="B33" s="64" t="s">
        <v>184</v>
      </c>
      <c r="C33" s="64">
        <f>COUNTIF(Table8[Primary_Delay_Reason],"Unknown / Insufficient Data")</f>
        <v>11</v>
      </c>
      <c r="D33" s="64"/>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251D5-D295-4AA6-AB29-CD5EE7EE79F9}">
  <dimension ref="B2:J30"/>
  <sheetViews>
    <sheetView showGridLines="0" workbookViewId="0">
      <selection activeCell="E27" sqref="E27"/>
    </sheetView>
  </sheetViews>
  <sheetFormatPr defaultRowHeight="14.25"/>
  <cols>
    <col min="2" max="2" width="13.125" bestFit="1" customWidth="1"/>
    <col min="3" max="3" width="18.625" bestFit="1" customWidth="1"/>
    <col min="6" max="6" width="18.625" bestFit="1" customWidth="1"/>
    <col min="7" max="7" width="13.25" bestFit="1" customWidth="1"/>
    <col min="8" max="8" width="26.25" bestFit="1" customWidth="1"/>
    <col min="12" max="12" width="14.125" bestFit="1" customWidth="1"/>
    <col min="13" max="13" width="26.25" bestFit="1" customWidth="1"/>
    <col min="14" max="14" width="9" customWidth="1"/>
  </cols>
  <sheetData>
    <row r="2" spans="2:10" ht="20.25">
      <c r="B2" s="80" t="s">
        <v>209</v>
      </c>
      <c r="J2" s="2"/>
    </row>
    <row r="4" spans="2:10" ht="15">
      <c r="B4" s="2" t="s">
        <v>218</v>
      </c>
      <c r="F4" s="2" t="s">
        <v>215</v>
      </c>
    </row>
    <row r="5" spans="2:10">
      <c r="B5" s="81" t="s">
        <v>210</v>
      </c>
      <c r="C5" t="s">
        <v>212</v>
      </c>
      <c r="F5" s="81" t="s">
        <v>210</v>
      </c>
      <c r="G5" t="s">
        <v>219</v>
      </c>
    </row>
    <row r="6" spans="2:10">
      <c r="B6" s="82" t="s">
        <v>16</v>
      </c>
      <c r="C6">
        <v>7</v>
      </c>
      <c r="F6" s="82" t="s">
        <v>35</v>
      </c>
      <c r="G6">
        <v>7</v>
      </c>
    </row>
    <row r="7" spans="2:10">
      <c r="B7" s="82" t="s">
        <v>211</v>
      </c>
      <c r="C7">
        <v>7</v>
      </c>
      <c r="F7" s="82" t="s">
        <v>211</v>
      </c>
      <c r="G7">
        <v>7</v>
      </c>
    </row>
    <row r="19" spans="2:8" ht="15">
      <c r="B19" s="2" t="s">
        <v>216</v>
      </c>
      <c r="F19" s="84" t="s">
        <v>217</v>
      </c>
    </row>
    <row r="20" spans="2:8">
      <c r="B20" s="81" t="s">
        <v>210</v>
      </c>
      <c r="C20" t="s">
        <v>212</v>
      </c>
      <c r="F20" t="s">
        <v>212</v>
      </c>
      <c r="G20" t="s">
        <v>213</v>
      </c>
      <c r="H20" t="s">
        <v>214</v>
      </c>
    </row>
    <row r="21" spans="2:8">
      <c r="B21" s="82" t="s">
        <v>33</v>
      </c>
      <c r="C21">
        <v>2</v>
      </c>
      <c r="F21">
        <v>7</v>
      </c>
      <c r="G21" s="83">
        <v>6.7571428571422336</v>
      </c>
      <c r="H21" s="83">
        <v>50.714285714327289</v>
      </c>
    </row>
    <row r="22" spans="2:8">
      <c r="B22" s="82" t="s">
        <v>180</v>
      </c>
      <c r="C22">
        <v>2</v>
      </c>
    </row>
    <row r="23" spans="2:8" ht="15">
      <c r="B23" s="82" t="s">
        <v>36</v>
      </c>
      <c r="C23">
        <v>2</v>
      </c>
      <c r="F23" s="2"/>
    </row>
    <row r="24" spans="2:8">
      <c r="B24" s="82" t="s">
        <v>184</v>
      </c>
      <c r="C24">
        <v>1</v>
      </c>
    </row>
    <row r="25" spans="2:8" ht="15">
      <c r="B25" s="82" t="s">
        <v>211</v>
      </c>
      <c r="C25">
        <v>7</v>
      </c>
      <c r="G25" s="2" t="s">
        <v>220</v>
      </c>
    </row>
    <row r="26" spans="2:8">
      <c r="G26" s="81" t="s">
        <v>210</v>
      </c>
      <c r="H26" t="s">
        <v>213</v>
      </c>
    </row>
    <row r="27" spans="2:8">
      <c r="G27" s="82" t="s">
        <v>15</v>
      </c>
      <c r="H27">
        <v>5</v>
      </c>
    </row>
    <row r="28" spans="2:8">
      <c r="G28" s="82" t="s">
        <v>30</v>
      </c>
      <c r="H28">
        <v>7.7999999999992724</v>
      </c>
    </row>
    <row r="29" spans="2:8">
      <c r="G29" s="82" t="s">
        <v>22</v>
      </c>
      <c r="H29">
        <v>7.2333333333323635</v>
      </c>
    </row>
    <row r="30" spans="2:8">
      <c r="G30" s="82" t="s">
        <v>211</v>
      </c>
      <c r="H30">
        <v>6.7571428571422336</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Fleet_Data</vt:lpstr>
      <vt:lpstr>Cleaned_Data</vt:lpstr>
      <vt:lpstr>Data_Cleaning_Log</vt:lpstr>
      <vt:lpstr>Summary</vt:lpstr>
      <vt:lpstr>Dashboard</vt:lpstr>
      <vt:lpstr>Dashboard_PT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Shanika Ormsby</dc:creator>
  <cp:lastModifiedBy>Shanika Ormsby</cp:lastModifiedBy>
  <dcterms:created xsi:type="dcterms:W3CDTF">2026-05-30T17:01:47Z</dcterms:created>
  <dcterms:modified xsi:type="dcterms:W3CDTF">2026-06-10T19:32:01Z</dcterms:modified>
</cp:coreProperties>
</file>